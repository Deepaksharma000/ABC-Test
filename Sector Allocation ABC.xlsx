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ty Research\"/>
    </mc:Choice>
  </mc:AlternateContent>
  <xr:revisionPtr revIDLastSave="0" documentId="13_ncr:1_{8C4CA98A-D7B7-4119-AB5B-AFB09A298E60}" xr6:coauthVersionLast="47" xr6:coauthVersionMax="47" xr10:uidLastSave="{00000000-0000-0000-0000-000000000000}"/>
  <bookViews>
    <workbookView xWindow="-108" yWindow="-108" windowWidth="23256" windowHeight="12456" activeTab="3" xr2:uid="{D53F568A-779F-495C-BB91-A619A6472BE3}"/>
  </bookViews>
  <sheets>
    <sheet name="Index" sheetId="5" r:id="rId1"/>
    <sheet name="Shortlisting" sheetId="1" r:id="rId2"/>
    <sheet name="Ratio Analysis" sheetId="2" r:id="rId3"/>
    <sheet name="Asset Allocation" sheetId="4" r:id="rId4"/>
    <sheet name="Recommandation" sheetId="3" r:id="rId5"/>
    <sheet name="Sheet1" sheetId="6" r:id="rId6"/>
  </sheets>
  <definedNames>
    <definedName name="_xlnm._FilterDatabase" localSheetId="1" hidden="1">Shortlisting!$A$4:$F$20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3" i="4" l="1"/>
  <c r="E334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D334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96" i="4"/>
  <c r="E97" i="4"/>
  <c r="D92" i="4"/>
  <c r="D95" i="4"/>
  <c r="D96" i="4"/>
  <c r="D86" i="4"/>
  <c r="E98" i="4"/>
  <c r="D98" i="4"/>
  <c r="E95" i="4"/>
  <c r="E94" i="4"/>
  <c r="D94" i="4"/>
  <c r="E93" i="4"/>
  <c r="D93" i="4"/>
  <c r="E87" i="4"/>
  <c r="D87" i="4"/>
  <c r="E86" i="4"/>
  <c r="E84" i="4"/>
  <c r="D84" i="4"/>
  <c r="E83" i="4"/>
  <c r="D83" i="4"/>
  <c r="E82" i="4"/>
  <c r="D82" i="4"/>
  <c r="E81" i="4"/>
  <c r="D81" i="4"/>
  <c r="E73" i="4"/>
  <c r="D74" i="4"/>
  <c r="E76" i="4"/>
  <c r="D76" i="4"/>
  <c r="E75" i="4"/>
  <c r="D75" i="4"/>
  <c r="E74" i="4"/>
  <c r="D73" i="4"/>
  <c r="E72" i="4"/>
  <c r="D72" i="4"/>
  <c r="E71" i="4"/>
  <c r="D71" i="4"/>
  <c r="D62" i="4"/>
  <c r="E63" i="4"/>
  <c r="D64" i="4"/>
  <c r="E62" i="4"/>
  <c r="D63" i="4"/>
  <c r="E65" i="4"/>
  <c r="D65" i="4"/>
  <c r="E64" i="4"/>
  <c r="E61" i="4"/>
  <c r="D61" i="4"/>
  <c r="E60" i="4"/>
  <c r="D60" i="4"/>
  <c r="D51" i="4"/>
  <c r="E53" i="4"/>
  <c r="D53" i="4"/>
  <c r="E52" i="4"/>
  <c r="D52" i="4"/>
  <c r="E51" i="4"/>
  <c r="E50" i="4"/>
  <c r="D50" i="4"/>
  <c r="E49" i="4"/>
  <c r="D49" i="4"/>
  <c r="E48" i="4"/>
  <c r="D48" i="4"/>
  <c r="D39" i="4"/>
  <c r="D40" i="4"/>
  <c r="E36" i="4"/>
  <c r="E42" i="4"/>
  <c r="D42" i="4"/>
  <c r="E41" i="4"/>
  <c r="D41" i="4"/>
  <c r="E40" i="4"/>
  <c r="E38" i="4"/>
  <c r="D38" i="4"/>
  <c r="E37" i="4"/>
  <c r="D37" i="4"/>
  <c r="D36" i="4"/>
  <c r="D26" i="4"/>
  <c r="D25" i="4"/>
  <c r="D31" i="4"/>
  <c r="D30" i="4"/>
  <c r="D29" i="4"/>
  <c r="D28" i="4"/>
  <c r="D27" i="4"/>
  <c r="D15" i="4"/>
  <c r="D16" i="4"/>
  <c r="D17" i="4"/>
  <c r="D18" i="4"/>
  <c r="D19" i="4"/>
  <c r="D20" i="4"/>
  <c r="D14" i="4"/>
  <c r="E26" i="4"/>
  <c r="E31" i="4"/>
  <c r="E30" i="4"/>
  <c r="E29" i="4"/>
  <c r="E28" i="4"/>
  <c r="E27" i="4"/>
  <c r="E25" i="4"/>
  <c r="E15" i="4"/>
  <c r="E16" i="4"/>
  <c r="E17" i="4"/>
  <c r="E18" i="4"/>
  <c r="E19" i="4"/>
  <c r="E20" i="4"/>
  <c r="E14" i="4"/>
  <c r="O187" i="5"/>
  <c r="O188" i="5"/>
  <c r="O189" i="5"/>
  <c r="O192" i="5"/>
  <c r="O194" i="5"/>
  <c r="O196" i="5"/>
  <c r="O171" i="5"/>
  <c r="O173" i="5"/>
  <c r="O198" i="5"/>
  <c r="O197" i="5"/>
  <c r="O190" i="5"/>
  <c r="O186" i="5"/>
  <c r="O185" i="5"/>
  <c r="O178" i="5"/>
  <c r="O177" i="5"/>
  <c r="O172" i="5"/>
  <c r="O169" i="5"/>
  <c r="O168" i="5"/>
  <c r="O167" i="5"/>
  <c r="O166" i="5"/>
  <c r="O165" i="5"/>
  <c r="O164" i="5"/>
  <c r="O149" i="5"/>
  <c r="O158" i="5"/>
  <c r="O157" i="5"/>
  <c r="O155" i="5"/>
  <c r="O151" i="5"/>
  <c r="O150" i="5"/>
  <c r="O147" i="5"/>
  <c r="O146" i="5"/>
  <c r="O145" i="5"/>
  <c r="O144" i="5"/>
  <c r="O127" i="5"/>
  <c r="O128" i="5"/>
  <c r="O129" i="5"/>
  <c r="O133" i="5"/>
  <c r="O134" i="5"/>
  <c r="O135" i="5"/>
  <c r="O136" i="5"/>
  <c r="O138" i="5"/>
  <c r="O137" i="5"/>
  <c r="O132" i="5"/>
  <c r="O131" i="5"/>
  <c r="O130" i="5"/>
  <c r="O126" i="5"/>
  <c r="O125" i="5"/>
  <c r="O124" i="5"/>
  <c r="O108" i="5"/>
  <c r="O114" i="5"/>
  <c r="O118" i="5"/>
  <c r="O117" i="5"/>
  <c r="O115" i="5"/>
  <c r="O111" i="5"/>
  <c r="O110" i="5"/>
  <c r="O109" i="5"/>
  <c r="O107" i="5"/>
  <c r="O106" i="5"/>
  <c r="O105" i="5"/>
  <c r="O86" i="5"/>
  <c r="O92" i="5"/>
  <c r="O98" i="5"/>
  <c r="O94" i="5"/>
  <c r="O90" i="5"/>
  <c r="O89" i="5"/>
  <c r="O88" i="5"/>
  <c r="O87" i="5"/>
  <c r="O84" i="5"/>
  <c r="O68" i="5"/>
  <c r="O69" i="5"/>
  <c r="O73" i="5"/>
  <c r="O74" i="5"/>
  <c r="O75" i="5"/>
  <c r="O76" i="5"/>
  <c r="O78" i="5"/>
  <c r="O77" i="5"/>
  <c r="O72" i="5"/>
  <c r="O71" i="5"/>
  <c r="O70" i="5"/>
  <c r="O67" i="5"/>
  <c r="O66" i="5"/>
  <c r="O65" i="5"/>
  <c r="O6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44" i="5"/>
  <c r="O24" i="5"/>
  <c r="O30" i="5"/>
  <c r="O33" i="5"/>
  <c r="O34" i="5"/>
  <c r="O36" i="5"/>
  <c r="O38" i="5"/>
  <c r="O25" i="5"/>
  <c r="O26" i="5"/>
  <c r="O27" i="5"/>
  <c r="O31" i="5"/>
  <c r="O32" i="5"/>
  <c r="O37" i="5"/>
  <c r="D25" i="5"/>
  <c r="D24" i="5"/>
  <c r="D408" i="5"/>
  <c r="D409" i="5"/>
  <c r="D410" i="5"/>
  <c r="D411" i="5"/>
  <c r="D412" i="5"/>
  <c r="D413" i="5"/>
  <c r="D414" i="5"/>
  <c r="D415" i="5"/>
  <c r="D416" i="5"/>
  <c r="D404" i="5"/>
  <c r="D418" i="5"/>
  <c r="D417" i="5"/>
  <c r="D407" i="5"/>
  <c r="D406" i="5"/>
  <c r="D405" i="5"/>
  <c r="D388" i="5"/>
  <c r="D389" i="5"/>
  <c r="D393" i="5"/>
  <c r="D394" i="5"/>
  <c r="D395" i="5"/>
  <c r="D396" i="5"/>
  <c r="D384" i="5"/>
  <c r="D398" i="5"/>
  <c r="D397" i="5"/>
  <c r="D392" i="5"/>
  <c r="D391" i="5"/>
  <c r="D390" i="5"/>
  <c r="D387" i="5"/>
  <c r="D386" i="5"/>
  <c r="D385" i="5"/>
  <c r="D368" i="5"/>
  <c r="D369" i="5"/>
  <c r="D371" i="5"/>
  <c r="D373" i="5"/>
  <c r="D374" i="5"/>
  <c r="D375" i="5"/>
  <c r="D376" i="5"/>
  <c r="D378" i="5"/>
  <c r="D377" i="5"/>
  <c r="D372" i="5"/>
  <c r="D370" i="5"/>
  <c r="D367" i="5"/>
  <c r="D366" i="5"/>
  <c r="D365" i="5"/>
  <c r="D364" i="5"/>
  <c r="D348" i="5"/>
  <c r="D349" i="5"/>
  <c r="D350" i="5"/>
  <c r="D354" i="5"/>
  <c r="D355" i="5"/>
  <c r="D356" i="5"/>
  <c r="D358" i="5"/>
  <c r="D357" i="5"/>
  <c r="D353" i="5"/>
  <c r="D352" i="5"/>
  <c r="D351" i="5"/>
  <c r="D347" i="5"/>
  <c r="D346" i="5"/>
  <c r="D345" i="5"/>
  <c r="D344" i="5"/>
  <c r="D253" i="4" l="1"/>
  <c r="E341" i="4"/>
  <c r="D341" i="4"/>
  <c r="E330" i="4"/>
  <c r="I322" i="4" s="1"/>
  <c r="E319" i="4"/>
  <c r="I311" i="4" s="1"/>
  <c r="D330" i="4"/>
  <c r="D319" i="4"/>
  <c r="E187" i="4"/>
  <c r="I179" i="4" s="1"/>
  <c r="E253" i="4"/>
  <c r="I245" i="4" s="1"/>
  <c r="D187" i="4"/>
  <c r="E198" i="4"/>
  <c r="I190" i="4" s="1"/>
  <c r="E264" i="4"/>
  <c r="I256" i="4" s="1"/>
  <c r="D209" i="4"/>
  <c r="D275" i="4"/>
  <c r="E209" i="4"/>
  <c r="I201" i="4" s="1"/>
  <c r="D220" i="4"/>
  <c r="D231" i="4"/>
  <c r="D297" i="4"/>
  <c r="E220" i="4"/>
  <c r="I212" i="4" s="1"/>
  <c r="E231" i="4"/>
  <c r="I223" i="4" s="1"/>
  <c r="E297" i="4"/>
  <c r="I289" i="4" s="1"/>
  <c r="D286" i="4"/>
  <c r="E286" i="4"/>
  <c r="I278" i="4" s="1"/>
  <c r="D242" i="4"/>
  <c r="D308" i="4"/>
  <c r="D264" i="4"/>
  <c r="E275" i="4"/>
  <c r="I267" i="4" s="1"/>
  <c r="E242" i="4"/>
  <c r="I234" i="4" s="1"/>
  <c r="E308" i="4"/>
  <c r="I300" i="4" s="1"/>
  <c r="D198" i="4"/>
  <c r="D176" i="4"/>
  <c r="E176" i="4"/>
  <c r="I168" i="4" s="1"/>
  <c r="E154" i="4"/>
  <c r="I146" i="4" s="1"/>
  <c r="D165" i="4"/>
  <c r="E165" i="4"/>
  <c r="I157" i="4" s="1"/>
  <c r="D21" i="4"/>
  <c r="E143" i="4"/>
  <c r="I135" i="4" s="1"/>
  <c r="D154" i="4"/>
  <c r="D143" i="4"/>
  <c r="D32" i="4"/>
  <c r="D132" i="4"/>
  <c r="E132" i="4"/>
  <c r="I124" i="4" s="1"/>
  <c r="E21" i="4"/>
  <c r="I13" i="4" s="1"/>
  <c r="E121" i="4"/>
  <c r="I113" i="4" s="1"/>
  <c r="D121" i="4"/>
  <c r="D110" i="4"/>
  <c r="E110" i="4"/>
  <c r="I102" i="4" s="1"/>
  <c r="D97" i="4"/>
  <c r="D99" i="4" s="1"/>
  <c r="E92" i="4"/>
  <c r="E99" i="4" s="1"/>
  <c r="I91" i="4" s="1"/>
  <c r="E85" i="4"/>
  <c r="E88" i="4" s="1"/>
  <c r="I80" i="4" s="1"/>
  <c r="D85" i="4"/>
  <c r="D88" i="4" s="1"/>
  <c r="E70" i="4"/>
  <c r="E77" i="4" s="1"/>
  <c r="I69" i="4" s="1"/>
  <c r="D70" i="4"/>
  <c r="D77" i="4" s="1"/>
  <c r="E59" i="4"/>
  <c r="E66" i="4" s="1"/>
  <c r="I58" i="4" s="1"/>
  <c r="D59" i="4"/>
  <c r="D66" i="4" s="1"/>
  <c r="E47" i="4"/>
  <c r="E54" i="4" s="1"/>
  <c r="I46" i="4" s="1"/>
  <c r="D47" i="4"/>
  <c r="D54" i="4" s="1"/>
  <c r="E39" i="4"/>
  <c r="E43" i="4" s="1"/>
  <c r="I35" i="4" s="1"/>
  <c r="D43" i="4"/>
  <c r="E32" i="4"/>
  <c r="I24" i="4" s="1"/>
  <c r="O184" i="5"/>
  <c r="O195" i="5"/>
  <c r="O191" i="5"/>
  <c r="O170" i="5"/>
  <c r="O176" i="5"/>
  <c r="O193" i="5"/>
  <c r="O174" i="5"/>
  <c r="O175" i="5"/>
  <c r="O156" i="5"/>
  <c r="O152" i="5"/>
  <c r="O153" i="5"/>
  <c r="O148" i="5"/>
  <c r="O154" i="5"/>
  <c r="O116" i="5"/>
  <c r="O112" i="5"/>
  <c r="O113" i="5"/>
  <c r="O104" i="5"/>
  <c r="O95" i="5"/>
  <c r="O85" i="5"/>
  <c r="O91" i="5"/>
  <c r="O97" i="5"/>
  <c r="O96" i="5"/>
  <c r="O93" i="5"/>
  <c r="O29" i="5"/>
  <c r="O28" i="5"/>
  <c r="O35" i="5"/>
  <c r="B12" i="2" l="1"/>
  <c r="C12" i="2"/>
  <c r="D12" i="2"/>
  <c r="E12" i="2"/>
  <c r="F12" i="2"/>
  <c r="G12" i="2"/>
  <c r="H12" i="2"/>
  <c r="H6" i="2"/>
  <c r="D6" i="2"/>
  <c r="C6" i="2"/>
  <c r="C8" i="2"/>
  <c r="C10" i="2"/>
  <c r="C14" i="2"/>
  <c r="C16" i="2"/>
  <c r="C18" i="2"/>
  <c r="C20" i="2"/>
  <c r="C22" i="2"/>
  <c r="B6" i="2"/>
  <c r="D284" i="5" l="1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285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86" i="5"/>
  <c r="F29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3" i="5"/>
  <c r="Q158" i="5" l="1"/>
  <c r="Q178" i="5"/>
  <c r="Q198" i="5"/>
  <c r="Q145" i="5"/>
  <c r="Q185" i="5"/>
  <c r="Q165" i="5"/>
  <c r="Q156" i="5"/>
  <c r="Q196" i="5"/>
  <c r="Q176" i="5"/>
  <c r="Q154" i="5"/>
  <c r="Q194" i="5"/>
  <c r="Q174" i="5"/>
  <c r="Q179" i="5" s="1"/>
  <c r="Q157" i="5"/>
  <c r="Q197" i="5"/>
  <c r="Q177" i="5"/>
  <c r="Q153" i="5"/>
  <c r="Q193" i="5"/>
  <c r="Q173" i="5"/>
  <c r="Q149" i="5"/>
  <c r="Q189" i="5"/>
  <c r="Q169" i="5"/>
  <c r="Q146" i="5"/>
  <c r="Q166" i="5"/>
  <c r="Q186" i="5"/>
  <c r="Q155" i="5"/>
  <c r="Q195" i="5"/>
  <c r="Q175" i="5"/>
  <c r="Q152" i="5"/>
  <c r="Q172" i="5"/>
  <c r="Q192" i="5"/>
  <c r="Q151" i="5"/>
  <c r="Q191" i="5"/>
  <c r="Q171" i="5"/>
  <c r="Q150" i="5"/>
  <c r="Q190" i="5"/>
  <c r="Q170" i="5"/>
  <c r="Q148" i="5"/>
  <c r="Q188" i="5"/>
  <c r="Q168" i="5"/>
  <c r="Q144" i="5"/>
  <c r="Q164" i="5"/>
  <c r="Q184" i="5"/>
  <c r="Q147" i="5"/>
  <c r="Q187" i="5"/>
  <c r="Q167" i="5"/>
  <c r="Q98" i="5"/>
  <c r="Q138" i="5"/>
  <c r="Q118" i="5"/>
  <c r="Q86" i="5"/>
  <c r="Q126" i="5"/>
  <c r="Q106" i="5"/>
  <c r="Q97" i="5"/>
  <c r="Q137" i="5"/>
  <c r="Q117" i="5"/>
  <c r="Q85" i="5"/>
  <c r="Q125" i="5"/>
  <c r="Q105" i="5"/>
  <c r="Q96" i="5"/>
  <c r="Q116" i="5"/>
  <c r="Q136" i="5"/>
  <c r="Q95" i="5"/>
  <c r="Q115" i="5"/>
  <c r="Q135" i="5"/>
  <c r="Q94" i="5"/>
  <c r="Q114" i="5"/>
  <c r="Q134" i="5"/>
  <c r="Q93" i="5"/>
  <c r="Q113" i="5"/>
  <c r="Q133" i="5"/>
  <c r="Q92" i="5"/>
  <c r="Q132" i="5"/>
  <c r="Q112" i="5"/>
  <c r="Q91" i="5"/>
  <c r="Q111" i="5"/>
  <c r="Q131" i="5"/>
  <c r="Q90" i="5"/>
  <c r="Q130" i="5"/>
  <c r="Q110" i="5"/>
  <c r="Q89" i="5"/>
  <c r="Q109" i="5"/>
  <c r="Q129" i="5"/>
  <c r="Q88" i="5"/>
  <c r="Q108" i="5"/>
  <c r="Q128" i="5"/>
  <c r="Q84" i="5"/>
  <c r="Q104" i="5"/>
  <c r="Q124" i="5"/>
  <c r="Q87" i="5"/>
  <c r="Q107" i="5"/>
  <c r="Q127" i="5"/>
  <c r="F405" i="5"/>
  <c r="F325" i="5"/>
  <c r="F245" i="5"/>
  <c r="Q45" i="5"/>
  <c r="Q65" i="5"/>
  <c r="F225" i="5"/>
  <c r="F145" i="5"/>
  <c r="F165" i="5"/>
  <c r="F85" i="5"/>
  <c r="F305" i="5"/>
  <c r="F65" i="5"/>
  <c r="F365" i="5"/>
  <c r="Q25" i="5"/>
  <c r="F385" i="5"/>
  <c r="F285" i="5"/>
  <c r="F205" i="5"/>
  <c r="F265" i="5"/>
  <c r="F125" i="5"/>
  <c r="F45" i="5"/>
  <c r="F345" i="5"/>
  <c r="F185" i="5"/>
  <c r="F105" i="5"/>
  <c r="F195" i="5"/>
  <c r="F115" i="5"/>
  <c r="F55" i="5"/>
  <c r="F175" i="5"/>
  <c r="F95" i="5"/>
  <c r="F395" i="5"/>
  <c r="F315" i="5"/>
  <c r="F235" i="5"/>
  <c r="F155" i="5"/>
  <c r="F75" i="5"/>
  <c r="F415" i="5"/>
  <c r="F335" i="5"/>
  <c r="F255" i="5"/>
  <c r="Q35" i="5"/>
  <c r="F355" i="5"/>
  <c r="F375" i="5"/>
  <c r="F295" i="5"/>
  <c r="Q75" i="5"/>
  <c r="F275" i="5"/>
  <c r="F215" i="5"/>
  <c r="F135" i="5"/>
  <c r="Q55" i="5"/>
  <c r="F353" i="5"/>
  <c r="F273" i="5"/>
  <c r="F413" i="5"/>
  <c r="F193" i="5"/>
  <c r="F113" i="5"/>
  <c r="F333" i="5"/>
  <c r="F253" i="5"/>
  <c r="F173" i="5"/>
  <c r="F93" i="5"/>
  <c r="Q33" i="5"/>
  <c r="F213" i="5"/>
  <c r="F393" i="5"/>
  <c r="F133" i="5"/>
  <c r="F53" i="5"/>
  <c r="F233" i="5"/>
  <c r="F153" i="5"/>
  <c r="F73" i="5"/>
  <c r="F313" i="5"/>
  <c r="F373" i="5"/>
  <c r="Q73" i="5"/>
  <c r="F293" i="5"/>
  <c r="Q53" i="5"/>
  <c r="F212" i="5"/>
  <c r="F132" i="5"/>
  <c r="Q72" i="5"/>
  <c r="F52" i="5"/>
  <c r="F412" i="5"/>
  <c r="F252" i="5"/>
  <c r="F352" i="5"/>
  <c r="F272" i="5"/>
  <c r="F192" i="5"/>
  <c r="F112" i="5"/>
  <c r="F332" i="5"/>
  <c r="F172" i="5"/>
  <c r="F92" i="5"/>
  <c r="F232" i="5"/>
  <c r="F152" i="5"/>
  <c r="F72" i="5"/>
  <c r="F392" i="5"/>
  <c r="F312" i="5"/>
  <c r="Q32" i="5"/>
  <c r="F372" i="5"/>
  <c r="F292" i="5"/>
  <c r="Q52" i="5"/>
  <c r="F178" i="5"/>
  <c r="F98" i="5"/>
  <c r="F78" i="5"/>
  <c r="F218" i="5"/>
  <c r="Q78" i="5"/>
  <c r="Q38" i="5"/>
  <c r="F298" i="5"/>
  <c r="F398" i="5"/>
  <c r="F318" i="5"/>
  <c r="F238" i="5"/>
  <c r="F158" i="5"/>
  <c r="F378" i="5"/>
  <c r="F138" i="5"/>
  <c r="Q58" i="5"/>
  <c r="F358" i="5"/>
  <c r="F278" i="5"/>
  <c r="F198" i="5"/>
  <c r="F118" i="5"/>
  <c r="F418" i="5"/>
  <c r="F338" i="5"/>
  <c r="F258" i="5"/>
  <c r="F58" i="5"/>
  <c r="F371" i="5"/>
  <c r="F291" i="5"/>
  <c r="F211" i="5"/>
  <c r="F131" i="5"/>
  <c r="F331" i="5"/>
  <c r="F51" i="5"/>
  <c r="Q71" i="5"/>
  <c r="F351" i="5"/>
  <c r="F271" i="5"/>
  <c r="F191" i="5"/>
  <c r="F111" i="5"/>
  <c r="F411" i="5"/>
  <c r="F251" i="5"/>
  <c r="F91" i="5"/>
  <c r="F391" i="5"/>
  <c r="F311" i="5"/>
  <c r="F231" i="5"/>
  <c r="Q31" i="5"/>
  <c r="F71" i="5"/>
  <c r="F171" i="5"/>
  <c r="F151" i="5"/>
  <c r="Q51" i="5"/>
  <c r="F304" i="5"/>
  <c r="Q64" i="5"/>
  <c r="F404" i="5"/>
  <c r="F324" i="5"/>
  <c r="F244" i="5"/>
  <c r="F24" i="5"/>
  <c r="F384" i="5"/>
  <c r="F64" i="5"/>
  <c r="F164" i="5"/>
  <c r="F84" i="5"/>
  <c r="Q24" i="5"/>
  <c r="F224" i="5"/>
  <c r="F144" i="5"/>
  <c r="F284" i="5"/>
  <c r="Q44" i="5"/>
  <c r="F44" i="5"/>
  <c r="F204" i="5"/>
  <c r="F344" i="5"/>
  <c r="F124" i="5"/>
  <c r="F264" i="5"/>
  <c r="F184" i="5"/>
  <c r="F364" i="5"/>
  <c r="F104" i="5"/>
  <c r="F50" i="5"/>
  <c r="F190" i="5"/>
  <c r="F370" i="5"/>
  <c r="F290" i="5"/>
  <c r="F350" i="5"/>
  <c r="F270" i="5"/>
  <c r="Q70" i="5"/>
  <c r="F110" i="5"/>
  <c r="F210" i="5"/>
  <c r="F130" i="5"/>
  <c r="F170" i="5"/>
  <c r="F90" i="5"/>
  <c r="F390" i="5"/>
  <c r="Q30" i="5"/>
  <c r="F150" i="5"/>
  <c r="F70" i="5"/>
  <c r="F410" i="5"/>
  <c r="F310" i="5"/>
  <c r="F230" i="5"/>
  <c r="F330" i="5"/>
  <c r="F250" i="5"/>
  <c r="Q50" i="5"/>
  <c r="Q27" i="5"/>
  <c r="F127" i="5"/>
  <c r="F387" i="5"/>
  <c r="F307" i="5"/>
  <c r="F47" i="5"/>
  <c r="F207" i="5"/>
  <c r="F227" i="5"/>
  <c r="F147" i="5"/>
  <c r="F67" i="5"/>
  <c r="F367" i="5"/>
  <c r="F287" i="5"/>
  <c r="F327" i="5"/>
  <c r="F247" i="5"/>
  <c r="Q47" i="5"/>
  <c r="F347" i="5"/>
  <c r="F87" i="5"/>
  <c r="F187" i="5"/>
  <c r="F167" i="5"/>
  <c r="Q67" i="5"/>
  <c r="F267" i="5"/>
  <c r="F107" i="5"/>
  <c r="F407" i="5"/>
  <c r="F166" i="5"/>
  <c r="F86" i="5"/>
  <c r="F126" i="5"/>
  <c r="Q66" i="5"/>
  <c r="Q26" i="5"/>
  <c r="F226" i="5"/>
  <c r="F146" i="5"/>
  <c r="F366" i="5"/>
  <c r="F26" i="5"/>
  <c r="F386" i="5"/>
  <c r="F306" i="5"/>
  <c r="F66" i="5"/>
  <c r="F286" i="5"/>
  <c r="F206" i="5"/>
  <c r="F406" i="5"/>
  <c r="F326" i="5"/>
  <c r="F346" i="5"/>
  <c r="F246" i="5"/>
  <c r="Q46" i="5"/>
  <c r="F46" i="5"/>
  <c r="F266" i="5"/>
  <c r="F186" i="5"/>
  <c r="F106" i="5"/>
  <c r="F417" i="5"/>
  <c r="F337" i="5"/>
  <c r="F257" i="5"/>
  <c r="F77" i="5"/>
  <c r="Q57" i="5"/>
  <c r="F177" i="5"/>
  <c r="F97" i="5"/>
  <c r="Q77" i="5"/>
  <c r="F397" i="5"/>
  <c r="F237" i="5"/>
  <c r="F157" i="5"/>
  <c r="F297" i="5"/>
  <c r="Q37" i="5"/>
  <c r="F317" i="5"/>
  <c r="F377" i="5"/>
  <c r="F357" i="5"/>
  <c r="F217" i="5"/>
  <c r="F137" i="5"/>
  <c r="F277" i="5"/>
  <c r="F197" i="5"/>
  <c r="F117" i="5"/>
  <c r="F57" i="5"/>
  <c r="F76" i="5"/>
  <c r="F416" i="5"/>
  <c r="F336" i="5"/>
  <c r="F256" i="5"/>
  <c r="Q36" i="5"/>
  <c r="F316" i="5"/>
  <c r="F156" i="5"/>
  <c r="F176" i="5"/>
  <c r="F96" i="5"/>
  <c r="F396" i="5"/>
  <c r="Q76" i="5"/>
  <c r="F236" i="5"/>
  <c r="Q56" i="5"/>
  <c r="F216" i="5"/>
  <c r="F356" i="5"/>
  <c r="F276" i="5"/>
  <c r="F196" i="5"/>
  <c r="F376" i="5"/>
  <c r="F116" i="5"/>
  <c r="F296" i="5"/>
  <c r="F136" i="5"/>
  <c r="F56" i="5"/>
  <c r="F354" i="5"/>
  <c r="F274" i="5"/>
  <c r="F194" i="5"/>
  <c r="F114" i="5"/>
  <c r="F414" i="5"/>
  <c r="F334" i="5"/>
  <c r="F254" i="5"/>
  <c r="F174" i="5"/>
  <c r="F394" i="5"/>
  <c r="F94" i="5"/>
  <c r="Q34" i="5"/>
  <c r="F314" i="5"/>
  <c r="F134" i="5"/>
  <c r="F54" i="5"/>
  <c r="F154" i="5"/>
  <c r="Q74" i="5"/>
  <c r="F374" i="5"/>
  <c r="F234" i="5"/>
  <c r="F74" i="5"/>
  <c r="F294" i="5"/>
  <c r="F214" i="5"/>
  <c r="Q54" i="5"/>
  <c r="F229" i="5"/>
  <c r="F149" i="5"/>
  <c r="F69" i="5"/>
  <c r="F209" i="5"/>
  <c r="F129" i="5"/>
  <c r="F49" i="5"/>
  <c r="F269" i="5"/>
  <c r="F349" i="5"/>
  <c r="F189" i="5"/>
  <c r="F109" i="5"/>
  <c r="F369" i="5"/>
  <c r="F289" i="5"/>
  <c r="Q69" i="5"/>
  <c r="F169" i="5"/>
  <c r="F309" i="5"/>
  <c r="F89" i="5"/>
  <c r="F389" i="5"/>
  <c r="Q29" i="5"/>
  <c r="F409" i="5"/>
  <c r="F329" i="5"/>
  <c r="F249" i="5"/>
  <c r="Q49" i="5"/>
  <c r="F388" i="5"/>
  <c r="F308" i="5"/>
  <c r="F288" i="5"/>
  <c r="F48" i="5"/>
  <c r="F228" i="5"/>
  <c r="F148" i="5"/>
  <c r="F68" i="5"/>
  <c r="F368" i="5"/>
  <c r="F208" i="5"/>
  <c r="F128" i="5"/>
  <c r="F268" i="5"/>
  <c r="F348" i="5"/>
  <c r="F248" i="5"/>
  <c r="Q48" i="5"/>
  <c r="F88" i="5"/>
  <c r="Q68" i="5"/>
  <c r="F168" i="5"/>
  <c r="F188" i="5"/>
  <c r="F108" i="5"/>
  <c r="Q28" i="5"/>
  <c r="F408" i="5"/>
  <c r="F328" i="5"/>
  <c r="F38" i="5"/>
  <c r="F36" i="5"/>
  <c r="F37" i="5"/>
  <c r="F25" i="5"/>
  <c r="F35" i="5"/>
  <c r="F34" i="5"/>
  <c r="F33" i="5"/>
  <c r="F32" i="5"/>
  <c r="F31" i="5"/>
  <c r="F30" i="5"/>
  <c r="F28" i="5"/>
  <c r="F27" i="5"/>
  <c r="D267" i="5"/>
  <c r="D278" i="5"/>
  <c r="D277" i="5"/>
  <c r="D276" i="5"/>
  <c r="D275" i="5"/>
  <c r="D274" i="5"/>
  <c r="D273" i="5"/>
  <c r="D272" i="5"/>
  <c r="D271" i="5"/>
  <c r="D270" i="5"/>
  <c r="D269" i="5"/>
  <c r="D268" i="5"/>
  <c r="D266" i="5"/>
  <c r="D265" i="5"/>
  <c r="D264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24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05" i="5"/>
  <c r="D204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188" i="5"/>
  <c r="D185" i="5"/>
  <c r="D186" i="5"/>
  <c r="D187" i="5"/>
  <c r="D189" i="5"/>
  <c r="D190" i="5"/>
  <c r="D191" i="5"/>
  <c r="D192" i="5"/>
  <c r="D193" i="5"/>
  <c r="D194" i="5"/>
  <c r="D195" i="5"/>
  <c r="D196" i="5"/>
  <c r="D197" i="5"/>
  <c r="D198" i="5"/>
  <c r="D184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64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26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44" i="5"/>
  <c r="D27" i="5"/>
  <c r="D28" i="5"/>
  <c r="D29" i="5"/>
  <c r="D30" i="5"/>
  <c r="D31" i="5"/>
  <c r="D32" i="5"/>
  <c r="D33" i="5"/>
  <c r="D34" i="5"/>
  <c r="D35" i="5"/>
  <c r="D36" i="5"/>
  <c r="D37" i="5"/>
  <c r="D38" i="5"/>
  <c r="Q159" i="5" l="1"/>
  <c r="Q199" i="5"/>
  <c r="Q99" i="5"/>
  <c r="Q139" i="5"/>
  <c r="Q119" i="5"/>
  <c r="F39" i="5"/>
  <c r="F359" i="5"/>
  <c r="F239" i="5"/>
  <c r="F199" i="5"/>
  <c r="F319" i="5"/>
  <c r="F379" i="5"/>
  <c r="F219" i="5"/>
  <c r="F259" i="5"/>
  <c r="F119" i="5"/>
  <c r="F279" i="5"/>
  <c r="F139" i="5"/>
  <c r="F59" i="5"/>
  <c r="F339" i="5"/>
  <c r="F99" i="5"/>
  <c r="F419" i="5"/>
  <c r="Q39" i="5"/>
  <c r="Q59" i="5"/>
  <c r="Q79" i="5"/>
  <c r="F399" i="5"/>
  <c r="F299" i="5"/>
  <c r="F79" i="5"/>
  <c r="F179" i="5"/>
  <c r="F159" i="5"/>
  <c r="B4" i="2"/>
  <c r="B20" i="2"/>
  <c r="B22" i="2" s="1"/>
  <c r="G3" i="4" l="1"/>
  <c r="G4" i="4"/>
  <c r="G5" i="4"/>
  <c r="G6" i="4"/>
  <c r="G7" i="4"/>
  <c r="G8" i="4"/>
  <c r="G9" i="4"/>
  <c r="H8" i="4"/>
  <c r="D18" i="5"/>
  <c r="H20" i="2"/>
  <c r="H22" i="2" s="1"/>
  <c r="G20" i="2"/>
  <c r="G22" i="2" s="1"/>
  <c r="F20" i="2"/>
  <c r="F22" i="2" s="1"/>
  <c r="E20" i="2"/>
  <c r="E22" i="2" s="1"/>
  <c r="D20" i="2"/>
  <c r="D22" i="2" s="1"/>
  <c r="H16" i="2"/>
  <c r="H18" i="2" s="1"/>
  <c r="G16" i="2"/>
  <c r="G18" i="2" s="1"/>
  <c r="F16" i="2"/>
  <c r="F18" i="2" s="1"/>
  <c r="E16" i="2"/>
  <c r="E18" i="2" s="1"/>
  <c r="D16" i="2"/>
  <c r="D18" i="2" s="1"/>
  <c r="B16" i="2"/>
  <c r="B18" i="2" s="1"/>
  <c r="H14" i="2"/>
  <c r="G14" i="2"/>
  <c r="F14" i="2"/>
  <c r="E14" i="2"/>
  <c r="D14" i="2"/>
  <c r="B14" i="2"/>
  <c r="H8" i="2"/>
  <c r="H10" i="2" s="1"/>
  <c r="G8" i="2"/>
  <c r="G10" i="2" s="1"/>
  <c r="F8" i="2"/>
  <c r="F10" i="2" s="1"/>
  <c r="E8" i="2"/>
  <c r="E10" i="2" s="1"/>
  <c r="D8" i="2"/>
  <c r="D10" i="2" s="1"/>
  <c r="B8" i="2"/>
  <c r="B10" i="2" s="1"/>
  <c r="H4" i="2"/>
  <c r="G4" i="2"/>
  <c r="G6" i="2" s="1"/>
  <c r="F4" i="2"/>
  <c r="F6" i="2" s="1"/>
  <c r="E4" i="2"/>
  <c r="E6" i="2" s="1"/>
  <c r="D4" i="2"/>
  <c r="C4" i="2"/>
  <c r="E20" i="1"/>
  <c r="F29" i="1" s="1"/>
  <c r="F30" i="1" l="1"/>
  <c r="F40" i="1"/>
  <c r="F39" i="1"/>
  <c r="F25" i="1"/>
  <c r="F36" i="1"/>
  <c r="F38" i="1"/>
  <c r="F24" i="1"/>
  <c r="F26" i="1"/>
  <c r="F41" i="1"/>
  <c r="H4" i="4"/>
  <c r="F27" i="1"/>
  <c r="F31" i="1"/>
  <c r="F35" i="1"/>
  <c r="F37" i="1"/>
  <c r="F28" i="1"/>
  <c r="H7" i="4"/>
  <c r="H3" i="4"/>
  <c r="H6" i="4"/>
  <c r="H9" i="4"/>
  <c r="H5" i="4"/>
  <c r="E6" i="5"/>
  <c r="E7" i="5"/>
  <c r="E9" i="5"/>
  <c r="E11" i="5"/>
  <c r="E15" i="5"/>
  <c r="E4" i="5"/>
  <c r="E13" i="5"/>
  <c r="E17" i="5"/>
  <c r="E5" i="5"/>
  <c r="E8" i="5"/>
  <c r="E10" i="5"/>
  <c r="E12" i="5"/>
  <c r="E14" i="5"/>
  <c r="E16" i="5"/>
  <c r="E3" i="5"/>
  <c r="D24" i="2"/>
  <c r="C24" i="2"/>
  <c r="B24" i="2"/>
  <c r="E24" i="2"/>
  <c r="H24" i="2"/>
  <c r="G24" i="2"/>
  <c r="F24" i="2"/>
  <c r="F6" i="1"/>
  <c r="F17" i="1"/>
  <c r="F7" i="1"/>
  <c r="F12" i="1"/>
  <c r="F5" i="1"/>
  <c r="F14" i="1"/>
  <c r="F19" i="1"/>
  <c r="F8" i="1"/>
  <c r="F16" i="1"/>
  <c r="F10" i="1"/>
  <c r="F15" i="1"/>
  <c r="F9" i="1"/>
  <c r="F18" i="1"/>
  <c r="F13" i="1"/>
  <c r="F11" i="1"/>
  <c r="P152" i="5" l="1"/>
  <c r="P192" i="5"/>
  <c r="P172" i="5"/>
  <c r="P144" i="5"/>
  <c r="P164" i="5"/>
  <c r="P184" i="5"/>
  <c r="P150" i="5"/>
  <c r="P190" i="5"/>
  <c r="P170" i="5"/>
  <c r="P157" i="5"/>
  <c r="P177" i="5"/>
  <c r="P197" i="5"/>
  <c r="P148" i="5"/>
  <c r="P188" i="5"/>
  <c r="P168" i="5"/>
  <c r="P155" i="5"/>
  <c r="P175" i="5"/>
  <c r="P195" i="5"/>
  <c r="P147" i="5"/>
  <c r="P167" i="5"/>
  <c r="P187" i="5"/>
  <c r="P153" i="5"/>
  <c r="P173" i="5"/>
  <c r="P193" i="5"/>
  <c r="P151" i="5"/>
  <c r="P171" i="5"/>
  <c r="P191" i="5"/>
  <c r="P149" i="5"/>
  <c r="P189" i="5"/>
  <c r="P169" i="5"/>
  <c r="P146" i="5"/>
  <c r="P186" i="5"/>
  <c r="P166" i="5"/>
  <c r="P158" i="5"/>
  <c r="P198" i="5"/>
  <c r="P178" i="5"/>
  <c r="P154" i="5"/>
  <c r="P194" i="5"/>
  <c r="P174" i="5"/>
  <c r="P145" i="5"/>
  <c r="P165" i="5"/>
  <c r="P185" i="5"/>
  <c r="P156" i="5"/>
  <c r="P196" i="5"/>
  <c r="P176" i="5"/>
  <c r="P92" i="5"/>
  <c r="P132" i="5"/>
  <c r="P112" i="5"/>
  <c r="P84" i="5"/>
  <c r="P124" i="5"/>
  <c r="P104" i="5"/>
  <c r="P90" i="5"/>
  <c r="P110" i="5"/>
  <c r="P130" i="5"/>
  <c r="P97" i="5"/>
  <c r="P117" i="5"/>
  <c r="P137" i="5"/>
  <c r="P88" i="5"/>
  <c r="P128" i="5"/>
  <c r="P108" i="5"/>
  <c r="P95" i="5"/>
  <c r="P135" i="5"/>
  <c r="P115" i="5"/>
  <c r="P87" i="5"/>
  <c r="P127" i="5"/>
  <c r="P107" i="5"/>
  <c r="P93" i="5"/>
  <c r="P133" i="5"/>
  <c r="P113" i="5"/>
  <c r="P91" i="5"/>
  <c r="P131" i="5"/>
  <c r="P111" i="5"/>
  <c r="P89" i="5"/>
  <c r="P129" i="5"/>
  <c r="P109" i="5"/>
  <c r="P86" i="5"/>
  <c r="P106" i="5"/>
  <c r="P126" i="5"/>
  <c r="P98" i="5"/>
  <c r="P118" i="5"/>
  <c r="P138" i="5"/>
  <c r="P94" i="5"/>
  <c r="P114" i="5"/>
  <c r="P134" i="5"/>
  <c r="P85" i="5"/>
  <c r="P105" i="5"/>
  <c r="P125" i="5"/>
  <c r="P96" i="5"/>
  <c r="P136" i="5"/>
  <c r="P116" i="5"/>
  <c r="P32" i="5"/>
  <c r="P52" i="5"/>
  <c r="P72" i="5"/>
  <c r="P35" i="5"/>
  <c r="P75" i="5"/>
  <c r="P55" i="5"/>
  <c r="P26" i="5"/>
  <c r="P46" i="5"/>
  <c r="P66" i="5"/>
  <c r="E26" i="5"/>
  <c r="E24" i="5"/>
  <c r="P64" i="5"/>
  <c r="P44" i="5"/>
  <c r="E64" i="5"/>
  <c r="P37" i="5"/>
  <c r="P57" i="5"/>
  <c r="P77" i="5"/>
  <c r="P27" i="5"/>
  <c r="P67" i="5"/>
  <c r="P47" i="5"/>
  <c r="P31" i="5"/>
  <c r="P71" i="5"/>
  <c r="P51" i="5"/>
  <c r="P29" i="5"/>
  <c r="P49" i="5"/>
  <c r="P69" i="5"/>
  <c r="P38" i="5"/>
  <c r="P58" i="5"/>
  <c r="P78" i="5"/>
  <c r="P28" i="5"/>
  <c r="P48" i="5"/>
  <c r="P68" i="5"/>
  <c r="P33" i="5"/>
  <c r="P73" i="5"/>
  <c r="P53" i="5"/>
  <c r="P34" i="5"/>
  <c r="P54" i="5"/>
  <c r="P74" i="5"/>
  <c r="P25" i="5"/>
  <c r="P45" i="5"/>
  <c r="P65" i="5"/>
  <c r="P30" i="5"/>
  <c r="P70" i="5"/>
  <c r="P50" i="5"/>
  <c r="P36" i="5"/>
  <c r="P56" i="5"/>
  <c r="P76" i="5"/>
  <c r="P24" i="5"/>
  <c r="E392" i="5"/>
  <c r="E412" i="5"/>
  <c r="E384" i="5"/>
  <c r="E404" i="5"/>
  <c r="E390" i="5"/>
  <c r="E410" i="5"/>
  <c r="E397" i="5"/>
  <c r="E417" i="5"/>
  <c r="E388" i="5"/>
  <c r="E408" i="5"/>
  <c r="E395" i="5"/>
  <c r="E415" i="5"/>
  <c r="E387" i="5"/>
  <c r="E407" i="5"/>
  <c r="E393" i="5"/>
  <c r="E413" i="5"/>
  <c r="E391" i="5"/>
  <c r="E411" i="5"/>
  <c r="E389" i="5"/>
  <c r="E409" i="5"/>
  <c r="E386" i="5"/>
  <c r="E406" i="5"/>
  <c r="E398" i="5"/>
  <c r="E418" i="5"/>
  <c r="E394" i="5"/>
  <c r="E414" i="5"/>
  <c r="E385" i="5"/>
  <c r="E405" i="5"/>
  <c r="E396" i="5"/>
  <c r="E416" i="5"/>
  <c r="E352" i="5"/>
  <c r="E372" i="5"/>
  <c r="E377" i="5"/>
  <c r="E357" i="5"/>
  <c r="E373" i="5"/>
  <c r="E353" i="5"/>
  <c r="E350" i="5"/>
  <c r="E370" i="5"/>
  <c r="E364" i="5"/>
  <c r="E344" i="5"/>
  <c r="E348" i="5"/>
  <c r="E368" i="5"/>
  <c r="E375" i="5"/>
  <c r="E355" i="5"/>
  <c r="E367" i="5"/>
  <c r="E347" i="5"/>
  <c r="E351" i="5"/>
  <c r="E371" i="5"/>
  <c r="E369" i="5"/>
  <c r="E349" i="5"/>
  <c r="E366" i="5"/>
  <c r="E346" i="5"/>
  <c r="E358" i="5"/>
  <c r="E378" i="5"/>
  <c r="E374" i="5"/>
  <c r="E354" i="5"/>
  <c r="E345" i="5"/>
  <c r="E365" i="5"/>
  <c r="E356" i="5"/>
  <c r="E376" i="5"/>
  <c r="E187" i="5"/>
  <c r="E87" i="5"/>
  <c r="E27" i="5"/>
  <c r="E127" i="5"/>
  <c r="E47" i="5"/>
  <c r="E327" i="5"/>
  <c r="E167" i="5"/>
  <c r="E67" i="5"/>
  <c r="E307" i="5"/>
  <c r="E287" i="5"/>
  <c r="E147" i="5"/>
  <c r="E247" i="5"/>
  <c r="E207" i="5"/>
  <c r="E107" i="5"/>
  <c r="E227" i="5"/>
  <c r="E267" i="5"/>
  <c r="E111" i="5"/>
  <c r="E51" i="5"/>
  <c r="E311" i="5"/>
  <c r="E331" i="5"/>
  <c r="E131" i="5"/>
  <c r="E291" i="5"/>
  <c r="E191" i="5"/>
  <c r="E211" i="5"/>
  <c r="E271" i="5"/>
  <c r="E91" i="5"/>
  <c r="E151" i="5"/>
  <c r="E71" i="5"/>
  <c r="E251" i="5"/>
  <c r="E171" i="5"/>
  <c r="E231" i="5"/>
  <c r="E129" i="5"/>
  <c r="E309" i="5"/>
  <c r="E189" i="5"/>
  <c r="E109" i="5"/>
  <c r="E329" i="5"/>
  <c r="E69" i="5"/>
  <c r="E49" i="5"/>
  <c r="E289" i="5"/>
  <c r="E149" i="5"/>
  <c r="E89" i="5"/>
  <c r="E269" i="5"/>
  <c r="E29" i="5"/>
  <c r="E229" i="5"/>
  <c r="E169" i="5"/>
  <c r="E249" i="5"/>
  <c r="E209" i="5"/>
  <c r="H10" i="4"/>
  <c r="L2" i="4" s="1"/>
  <c r="E113" i="5"/>
  <c r="E73" i="5"/>
  <c r="E293" i="5"/>
  <c r="E133" i="5"/>
  <c r="E93" i="5"/>
  <c r="E333" i="5"/>
  <c r="E313" i="5"/>
  <c r="E173" i="5"/>
  <c r="E213" i="5"/>
  <c r="E253" i="5"/>
  <c r="E233" i="5"/>
  <c r="E193" i="5"/>
  <c r="E153" i="5"/>
  <c r="E53" i="5"/>
  <c r="E273" i="5"/>
  <c r="E294" i="5"/>
  <c r="E314" i="5"/>
  <c r="E114" i="5"/>
  <c r="E334" i="5"/>
  <c r="E174" i="5"/>
  <c r="E94" i="5"/>
  <c r="E154" i="5"/>
  <c r="E74" i="5"/>
  <c r="E214" i="5"/>
  <c r="E254" i="5"/>
  <c r="E194" i="5"/>
  <c r="E234" i="5"/>
  <c r="E54" i="5"/>
  <c r="E274" i="5"/>
  <c r="E134" i="5"/>
  <c r="E316" i="5"/>
  <c r="E156" i="5"/>
  <c r="E336" i="5"/>
  <c r="E176" i="5"/>
  <c r="E296" i="5"/>
  <c r="E116" i="5"/>
  <c r="E96" i="5"/>
  <c r="E76" i="5"/>
  <c r="E196" i="5"/>
  <c r="E276" i="5"/>
  <c r="E236" i="5"/>
  <c r="E256" i="5"/>
  <c r="E216" i="5"/>
  <c r="E136" i="5"/>
  <c r="E56" i="5"/>
  <c r="E166" i="5"/>
  <c r="E286" i="5"/>
  <c r="E66" i="5"/>
  <c r="E326" i="5"/>
  <c r="E86" i="5"/>
  <c r="E126" i="5"/>
  <c r="E146" i="5"/>
  <c r="E306" i="5"/>
  <c r="E46" i="5"/>
  <c r="E246" i="5"/>
  <c r="E106" i="5"/>
  <c r="E206" i="5"/>
  <c r="E226" i="5"/>
  <c r="E186" i="5"/>
  <c r="E266" i="5"/>
  <c r="E58" i="5"/>
  <c r="E338" i="5"/>
  <c r="E178" i="5"/>
  <c r="E158" i="5"/>
  <c r="E318" i="5"/>
  <c r="E98" i="5"/>
  <c r="E78" i="5"/>
  <c r="E298" i="5"/>
  <c r="E138" i="5"/>
  <c r="E218" i="5"/>
  <c r="E118" i="5"/>
  <c r="E278" i="5"/>
  <c r="E238" i="5"/>
  <c r="E198" i="5"/>
  <c r="E258" i="5"/>
  <c r="E85" i="5"/>
  <c r="E65" i="5"/>
  <c r="E305" i="5"/>
  <c r="E325" i="5"/>
  <c r="E285" i="5"/>
  <c r="E145" i="5"/>
  <c r="E165" i="5"/>
  <c r="E225" i="5"/>
  <c r="E105" i="5"/>
  <c r="E205" i="5"/>
  <c r="E45" i="5"/>
  <c r="E265" i="5"/>
  <c r="E185" i="5"/>
  <c r="E245" i="5"/>
  <c r="E125" i="5"/>
  <c r="E332" i="5"/>
  <c r="E292" i="5"/>
  <c r="E52" i="5"/>
  <c r="E132" i="5"/>
  <c r="E192" i="5"/>
  <c r="E112" i="5"/>
  <c r="E172" i="5"/>
  <c r="E92" i="5"/>
  <c r="E312" i="5"/>
  <c r="E72" i="5"/>
  <c r="E232" i="5"/>
  <c r="E272" i="5"/>
  <c r="E212" i="5"/>
  <c r="E252" i="5"/>
  <c r="E152" i="5"/>
  <c r="E335" i="5"/>
  <c r="E115" i="5"/>
  <c r="E175" i="5"/>
  <c r="E295" i="5"/>
  <c r="E95" i="5"/>
  <c r="E315" i="5"/>
  <c r="E75" i="5"/>
  <c r="E155" i="5"/>
  <c r="E55" i="5"/>
  <c r="E195" i="5"/>
  <c r="E235" i="5"/>
  <c r="E255" i="5"/>
  <c r="E135" i="5"/>
  <c r="E275" i="5"/>
  <c r="E215" i="5"/>
  <c r="E284" i="5"/>
  <c r="E164" i="5"/>
  <c r="E84" i="5"/>
  <c r="E224" i="5"/>
  <c r="E104" i="5"/>
  <c r="E304" i="5"/>
  <c r="E144" i="5"/>
  <c r="E324" i="5"/>
  <c r="E184" i="5"/>
  <c r="E44" i="5"/>
  <c r="E264" i="5"/>
  <c r="E244" i="5"/>
  <c r="E124" i="5"/>
  <c r="E204" i="5"/>
  <c r="E290" i="5"/>
  <c r="E190" i="5"/>
  <c r="E110" i="5"/>
  <c r="E310" i="5"/>
  <c r="E70" i="5"/>
  <c r="E130" i="5"/>
  <c r="E50" i="5"/>
  <c r="E330" i="5"/>
  <c r="E150" i="5"/>
  <c r="E210" i="5"/>
  <c r="E30" i="5"/>
  <c r="E90" i="5"/>
  <c r="E250" i="5"/>
  <c r="E230" i="5"/>
  <c r="E170" i="5"/>
  <c r="E270" i="5"/>
  <c r="E297" i="5"/>
  <c r="E177" i="5"/>
  <c r="E317" i="5"/>
  <c r="E157" i="5"/>
  <c r="E337" i="5"/>
  <c r="E97" i="5"/>
  <c r="E77" i="5"/>
  <c r="E137" i="5"/>
  <c r="E277" i="5"/>
  <c r="E57" i="5"/>
  <c r="E117" i="5"/>
  <c r="E237" i="5"/>
  <c r="E197" i="5"/>
  <c r="E257" i="5"/>
  <c r="E217" i="5"/>
  <c r="E308" i="5"/>
  <c r="E148" i="5"/>
  <c r="E328" i="5"/>
  <c r="E68" i="5"/>
  <c r="E48" i="5"/>
  <c r="E28" i="5"/>
  <c r="E288" i="5"/>
  <c r="E128" i="5"/>
  <c r="E108" i="5"/>
  <c r="E208" i="5"/>
  <c r="E88" i="5"/>
  <c r="E248" i="5"/>
  <c r="E168" i="5"/>
  <c r="E188" i="5"/>
  <c r="E228" i="5"/>
  <c r="E268" i="5"/>
  <c r="E32" i="5"/>
  <c r="E37" i="5"/>
  <c r="E35" i="5"/>
  <c r="E33" i="5"/>
  <c r="E31" i="5"/>
  <c r="E38" i="5"/>
  <c r="E34" i="5"/>
  <c r="E25" i="5"/>
  <c r="E36" i="5"/>
  <c r="B25" i="2"/>
  <c r="G25" i="2"/>
  <c r="E18" i="5"/>
  <c r="H25" i="2"/>
  <c r="C25" i="2"/>
  <c r="D25" i="2"/>
  <c r="E25" i="2"/>
  <c r="F25" i="2"/>
  <c r="P159" i="5" l="1"/>
  <c r="P199" i="5"/>
  <c r="P179" i="5"/>
  <c r="P139" i="5"/>
  <c r="P119" i="5"/>
  <c r="P99" i="5"/>
  <c r="P79" i="5"/>
  <c r="P39" i="5"/>
  <c r="P59" i="5"/>
  <c r="E399" i="5"/>
  <c r="E419" i="5"/>
  <c r="E379" i="5"/>
  <c r="E199" i="5"/>
  <c r="E359" i="5"/>
  <c r="E319" i="5"/>
  <c r="E239" i="5"/>
  <c r="E139" i="5"/>
  <c r="E99" i="5"/>
  <c r="E339" i="5"/>
  <c r="E79" i="5"/>
  <c r="E259" i="5"/>
  <c r="E179" i="5"/>
  <c r="E299" i="5"/>
  <c r="E159" i="5"/>
  <c r="E119" i="5"/>
  <c r="E279" i="5"/>
  <c r="E59" i="5"/>
  <c r="E219" i="5"/>
  <c r="E39" i="5"/>
  <c r="I23" i="5" s="1"/>
  <c r="I24" i="5" s="1"/>
  <c r="I43" i="5" l="1"/>
  <c r="I44" i="5" s="1"/>
  <c r="I63" i="5" s="1"/>
  <c r="I64" i="5" s="1"/>
  <c r="I83" i="5" s="1"/>
  <c r="I84" i="5" s="1"/>
  <c r="I103" i="5" s="1"/>
  <c r="I104" i="5" s="1"/>
  <c r="I123" i="5" s="1"/>
  <c r="I124" i="5" s="1"/>
  <c r="I143" i="5" s="1"/>
  <c r="I144" i="5" s="1"/>
  <c r="I163" i="5" s="1"/>
  <c r="I164" i="5" s="1"/>
  <c r="I183" i="5" s="1"/>
  <c r="I184" i="5" s="1"/>
  <c r="I203" i="5" s="1"/>
  <c r="I204" i="5" s="1"/>
  <c r="I223" i="5" s="1"/>
  <c r="I224" i="5" s="1"/>
  <c r="I243" i="5" s="1"/>
  <c r="I244" i="5" s="1"/>
  <c r="I263" i="5" s="1"/>
  <c r="I264" i="5" s="1"/>
  <c r="I283" i="5" s="1"/>
  <c r="I284" i="5" s="1"/>
  <c r="I303" i="5" s="1"/>
  <c r="I304" i="5" s="1"/>
  <c r="I323" i="5" s="1"/>
  <c r="I324" i="5" s="1"/>
  <c r="I343" i="5" s="1"/>
  <c r="I344" i="5" s="1"/>
  <c r="I363" i="5" s="1"/>
  <c r="I364" i="5" s="1"/>
  <c r="I383" i="5" s="1"/>
  <c r="I384" i="5" s="1"/>
  <c r="I403" i="5" s="1"/>
  <c r="I404" i="5" s="1"/>
  <c r="T23" i="5" s="1"/>
  <c r="T24" i="5" s="1"/>
  <c r="T43" i="5" l="1"/>
  <c r="T44" i="5" s="1"/>
  <c r="T63" i="5" l="1"/>
  <c r="T64" i="5" s="1"/>
  <c r="T83" i="5" s="1"/>
  <c r="T84" i="5" s="1"/>
  <c r="T103" i="5" s="1"/>
  <c r="T104" i="5" s="1"/>
  <c r="T123" i="5" s="1"/>
  <c r="T124" i="5" s="1"/>
  <c r="T143" i="5" s="1"/>
  <c r="T144" i="5" s="1"/>
  <c r="T163" i="5" s="1"/>
  <c r="T164" i="5" s="1"/>
  <c r="T183" i="5" s="1"/>
  <c r="T184" i="5" s="1"/>
</calcChain>
</file>

<file path=xl/sharedStrings.xml><?xml version="1.0" encoding="utf-8"?>
<sst xmlns="http://schemas.openxmlformats.org/spreadsheetml/2006/main" count="1255" uniqueCount="91">
  <si>
    <t>Sector</t>
  </si>
  <si>
    <t>S.No.</t>
  </si>
  <si>
    <t>Name</t>
  </si>
  <si>
    <t>CMP Rs.</t>
  </si>
  <si>
    <t>Mar Cap Rs.Cr. </t>
  </si>
  <si>
    <t>P/E</t>
  </si>
  <si>
    <t>Pidilite Inds.</t>
  </si>
  <si>
    <t>Solar Industries</t>
  </si>
  <si>
    <t>SRF</t>
  </si>
  <si>
    <t>Linde India</t>
  </si>
  <si>
    <t>Gujarat Fluoroch</t>
  </si>
  <si>
    <t>Navin Fluo.Intl.</t>
  </si>
  <si>
    <t>Himadri Special</t>
  </si>
  <si>
    <t>Deepak Nitrite</t>
  </si>
  <si>
    <t>Tata Chemicals</t>
  </si>
  <si>
    <t>Atul</t>
  </si>
  <si>
    <t>Aarti Industries</t>
  </si>
  <si>
    <t>Deepak Fertilis.</t>
  </si>
  <si>
    <t>BASF India</t>
  </si>
  <si>
    <t>Aether Industri.</t>
  </si>
  <si>
    <t>Anupam Rasayan</t>
  </si>
  <si>
    <t>P/E Compariosion</t>
  </si>
  <si>
    <t>Revenue 25</t>
  </si>
  <si>
    <t>Revenue 26</t>
  </si>
  <si>
    <t>Net Profit 25</t>
  </si>
  <si>
    <t>Revenue Status</t>
  </si>
  <si>
    <t>Profit Status</t>
  </si>
  <si>
    <t>Selection</t>
  </si>
  <si>
    <t>Growth Pick</t>
  </si>
  <si>
    <t>Value Pick</t>
  </si>
  <si>
    <t>PEG Ratio</t>
  </si>
  <si>
    <t>Ranking</t>
  </si>
  <si>
    <t>Weightage</t>
  </si>
  <si>
    <t>Net Profit 26</t>
  </si>
  <si>
    <t>UP</t>
  </si>
  <si>
    <t>Down</t>
  </si>
  <si>
    <t>Selected</t>
  </si>
  <si>
    <t>Within 0 to 1.5</t>
  </si>
  <si>
    <t>Rejected</t>
  </si>
  <si>
    <t xml:space="preserve">Chemicals &amp; Petrochemicals </t>
  </si>
  <si>
    <t>EBITDA Margin</t>
  </si>
  <si>
    <t>ROCE</t>
  </si>
  <si>
    <t>Net Debt to EBITDA</t>
  </si>
  <si>
    <t>Fixed Asset Turnover</t>
  </si>
  <si>
    <t>Ratio</t>
  </si>
  <si>
    <t>Companies</t>
  </si>
  <si>
    <t>Total Weighted Cal</t>
  </si>
  <si>
    <t>ASSET ALLOCATION</t>
  </si>
  <si>
    <t>FINAL COMPANIES (WEIGHTED RANKING)</t>
  </si>
  <si>
    <t>LAST TRADE PRICE</t>
  </si>
  <si>
    <t>NO. OF SHARES</t>
  </si>
  <si>
    <t>ASSET ALLOCATED</t>
  </si>
  <si>
    <t>Total</t>
  </si>
  <si>
    <t>% Allocation</t>
  </si>
  <si>
    <t>Current Status</t>
  </si>
  <si>
    <t>Value growth</t>
  </si>
  <si>
    <t>Pattern</t>
  </si>
  <si>
    <t>Current Trend</t>
  </si>
  <si>
    <t>Recommandation</t>
  </si>
  <si>
    <t>Longterm    =     IW</t>
  </si>
  <si>
    <t>Medium_Term = 1D</t>
  </si>
  <si>
    <t>Rectangle</t>
  </si>
  <si>
    <t>Short Term = 1D</t>
  </si>
  <si>
    <t>Current Trend candle</t>
  </si>
  <si>
    <t>buy, hold and sell</t>
  </si>
  <si>
    <t>buy or sell</t>
  </si>
  <si>
    <t>Index</t>
  </si>
  <si>
    <t>Initial Pricing</t>
  </si>
  <si>
    <t>Latest Price</t>
  </si>
  <si>
    <t>Percentage Change</t>
  </si>
  <si>
    <t>Net Effect</t>
  </si>
  <si>
    <t>rejected</t>
  </si>
  <si>
    <t>selected</t>
  </si>
  <si>
    <t>up</t>
  </si>
  <si>
    <t>down</t>
  </si>
  <si>
    <t>Cash Conversion Cycle / CCC</t>
  </si>
  <si>
    <t xml:space="preserve">Net Effect </t>
  </si>
  <si>
    <t>Market Index</t>
  </si>
  <si>
    <t>New Market Cap</t>
  </si>
  <si>
    <t>No. of Share</t>
  </si>
  <si>
    <t>Starting NAV</t>
  </si>
  <si>
    <t>NAV</t>
  </si>
  <si>
    <t>Small Cap</t>
  </si>
  <si>
    <t>Method 1</t>
  </si>
  <si>
    <t>Method 2</t>
  </si>
  <si>
    <t>Method 3</t>
  </si>
  <si>
    <t>Method 4</t>
  </si>
  <si>
    <t>Method 5</t>
  </si>
  <si>
    <t>Method 6</t>
  </si>
  <si>
    <t>19/06/2025</t>
  </si>
  <si>
    <t>Current Asset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</si>
</sst>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charset val="1"/>
    </font>
    <font>
      <sz val="9"/>
      <color rgb="FF22222F"/>
      <name val="Arial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9" fontId="0" fillId="0" borderId="0" xfId="1" applyFont="1"/>
    <xf numFmtId="9" fontId="0" fillId="0" borderId="0" xfId="0" applyNumberFormat="1"/>
    <xf numFmtId="2" fontId="0" fillId="0" borderId="0" xfId="0" applyNumberFormat="1"/>
    <xf numFmtId="0" fontId="6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9" fontId="6" fillId="0" borderId="0" xfId="0" applyNumberFormat="1" applyFont="1" applyAlignment="1">
      <alignment horizontal="left" vertical="center" wrapText="1" indent="1" readingOrder="1"/>
    </xf>
    <xf numFmtId="3" fontId="5" fillId="0" borderId="0" xfId="0" applyNumberFormat="1" applyFont="1" applyAlignment="1">
      <alignment horizontal="left" vertical="center" wrapText="1" indent="1" readingOrder="1"/>
    </xf>
    <xf numFmtId="10" fontId="0" fillId="0" borderId="0" xfId="0" applyNumberFormat="1"/>
    <xf numFmtId="0" fontId="7" fillId="0" borderId="0" xfId="0" applyFont="1"/>
    <xf numFmtId="0" fontId="8" fillId="0" borderId="0" xfId="0" applyFont="1"/>
    <xf numFmtId="3" fontId="1" fillId="0" borderId="0" xfId="0" applyNumberFormat="1" applyFont="1"/>
    <xf numFmtId="14" fontId="1" fillId="0" borderId="0" xfId="0" applyNumberFormat="1" applyFont="1"/>
    <xf numFmtId="10" fontId="1" fillId="0" borderId="0" xfId="0" applyNumberFormat="1" applyFont="1"/>
    <xf numFmtId="0" fontId="9" fillId="0" borderId="1" xfId="0" applyFont="1" applyBorder="1"/>
    <xf numFmtId="1" fontId="0" fillId="0" borderId="0" xfId="0" applyNumberFormat="1"/>
    <xf numFmtId="9" fontId="0" fillId="0" borderId="0" xfId="1" applyFont="1" applyFill="1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A474-B07C-4BA0-A83F-AEC3F420D704}">
  <dimension ref="A1:T419"/>
  <sheetViews>
    <sheetView topLeftCell="A148" zoomScale="78" workbookViewId="0">
      <selection activeCell="J23" sqref="J23"/>
    </sheetView>
  </sheetViews>
  <sheetFormatPr defaultRowHeight="14.4" x14ac:dyDescent="0.3"/>
  <cols>
    <col min="1" max="1" width="5.5546875" bestFit="1" customWidth="1"/>
    <col min="2" max="2" width="15.21875" bestFit="1" customWidth="1"/>
    <col min="3" max="4" width="17.5546875" bestFit="1" customWidth="1"/>
    <col min="5" max="5" width="10.77734375" bestFit="1" customWidth="1"/>
    <col min="6" max="6" width="16.5546875" bestFit="1" customWidth="1"/>
    <col min="7" max="7" width="2.88671875" customWidth="1"/>
    <col min="8" max="8" width="14" bestFit="1" customWidth="1"/>
    <col min="9" max="9" width="14.33203125" bestFit="1" customWidth="1"/>
    <col min="17" max="17" width="14.77734375" bestFit="1" customWidth="1"/>
    <col min="19" max="19" width="14.44140625" bestFit="1" customWidth="1"/>
    <col min="20" max="20" width="14.33203125" bestFit="1" customWidth="1"/>
  </cols>
  <sheetData>
    <row r="1" spans="1:12" x14ac:dyDescent="0.3">
      <c r="C1" s="21" t="s">
        <v>66</v>
      </c>
      <c r="D1" s="21"/>
    </row>
    <row r="2" spans="1:12" x14ac:dyDescent="0.3">
      <c r="A2" s="1" t="s">
        <v>1</v>
      </c>
      <c r="B2" s="1" t="s">
        <v>2</v>
      </c>
      <c r="C2" s="1" t="s">
        <v>67</v>
      </c>
      <c r="D2" s="1" t="s">
        <v>4</v>
      </c>
      <c r="E2" s="1" t="s">
        <v>32</v>
      </c>
      <c r="F2" s="1" t="s">
        <v>79</v>
      </c>
      <c r="H2" s="1" t="s">
        <v>80</v>
      </c>
      <c r="I2">
        <v>1000</v>
      </c>
      <c r="L2" s="1"/>
    </row>
    <row r="3" spans="1:12" x14ac:dyDescent="0.3">
      <c r="A3">
        <v>1</v>
      </c>
      <c r="B3" t="s">
        <v>6</v>
      </c>
      <c r="C3">
        <v>1375.7</v>
      </c>
      <c r="D3">
        <v>140015.35</v>
      </c>
      <c r="E3" s="4">
        <f t="shared" ref="E3:E17" si="0">D3/$D$18</f>
        <v>0.2098066859828491</v>
      </c>
      <c r="F3" s="18">
        <f>D3/C3</f>
        <v>101.77753143854038</v>
      </c>
      <c r="L3" s="1"/>
    </row>
    <row r="4" spans="1:12" x14ac:dyDescent="0.3">
      <c r="A4">
        <v>2</v>
      </c>
      <c r="B4" t="s">
        <v>7</v>
      </c>
      <c r="C4">
        <v>15439</v>
      </c>
      <c r="D4">
        <v>139707.6</v>
      </c>
      <c r="E4" s="4">
        <f t="shared" si="0"/>
        <v>0.20934553649023116</v>
      </c>
      <c r="F4" s="18">
        <f t="shared" ref="F4:F17" si="1">D4/C4</f>
        <v>9.049005764622061</v>
      </c>
      <c r="L4" s="1"/>
    </row>
    <row r="5" spans="1:12" x14ac:dyDescent="0.3">
      <c r="A5">
        <v>3</v>
      </c>
      <c r="B5" t="s">
        <v>9</v>
      </c>
      <c r="C5">
        <v>7320</v>
      </c>
      <c r="D5">
        <v>62424.959999999999</v>
      </c>
      <c r="E5" s="4">
        <f t="shared" si="0"/>
        <v>9.354098661476698E-2</v>
      </c>
      <c r="F5" s="18">
        <f t="shared" si="1"/>
        <v>8.5280000000000005</v>
      </c>
    </row>
    <row r="6" spans="1:12" x14ac:dyDescent="0.3">
      <c r="A6">
        <v>4</v>
      </c>
      <c r="B6" t="s">
        <v>10</v>
      </c>
      <c r="C6">
        <v>3602</v>
      </c>
      <c r="D6">
        <v>39567.97</v>
      </c>
      <c r="E6" s="4">
        <f t="shared" si="0"/>
        <v>5.9290818162214307E-2</v>
      </c>
      <c r="F6" s="18">
        <f t="shared" si="1"/>
        <v>10.985000000000001</v>
      </c>
    </row>
    <row r="7" spans="1:12" x14ac:dyDescent="0.3">
      <c r="A7">
        <v>5</v>
      </c>
      <c r="B7" t="s">
        <v>14</v>
      </c>
      <c r="C7">
        <v>809</v>
      </c>
      <c r="D7">
        <v>20610.080000000002</v>
      </c>
      <c r="E7" s="4">
        <f t="shared" si="0"/>
        <v>3.0883275174053405E-2</v>
      </c>
      <c r="F7" s="18">
        <f t="shared" si="1"/>
        <v>25.475995055624228</v>
      </c>
    </row>
    <row r="8" spans="1:12" x14ac:dyDescent="0.3">
      <c r="A8">
        <v>6</v>
      </c>
      <c r="B8" t="s">
        <v>19</v>
      </c>
      <c r="C8">
        <v>1171.8</v>
      </c>
      <c r="D8">
        <v>15547.47</v>
      </c>
      <c r="E8" s="4">
        <f t="shared" si="0"/>
        <v>2.3297182459764351E-2</v>
      </c>
      <c r="F8" s="18">
        <f t="shared" si="1"/>
        <v>13.268023553507424</v>
      </c>
    </row>
    <row r="9" spans="1:12" x14ac:dyDescent="0.3">
      <c r="A9">
        <v>7</v>
      </c>
      <c r="B9" t="s">
        <v>20</v>
      </c>
      <c r="C9">
        <v>1343.8</v>
      </c>
      <c r="D9">
        <v>15298.94</v>
      </c>
      <c r="E9" s="4">
        <f t="shared" si="0"/>
        <v>2.2924771465774641E-2</v>
      </c>
      <c r="F9" s="18">
        <f t="shared" si="1"/>
        <v>11.384834052686413</v>
      </c>
    </row>
    <row r="10" spans="1:12" x14ac:dyDescent="0.3">
      <c r="A10">
        <v>8</v>
      </c>
      <c r="B10" t="s">
        <v>8</v>
      </c>
      <c r="C10">
        <v>2518.6</v>
      </c>
      <c r="D10">
        <v>74657.56</v>
      </c>
      <c r="E10" s="4">
        <f t="shared" si="0"/>
        <v>0.11187098591094272</v>
      </c>
      <c r="F10" s="18">
        <f t="shared" si="1"/>
        <v>29.642483919637893</v>
      </c>
    </row>
    <row r="11" spans="1:12" x14ac:dyDescent="0.3">
      <c r="A11">
        <v>9</v>
      </c>
      <c r="B11" t="s">
        <v>11</v>
      </c>
      <c r="C11">
        <v>6821</v>
      </c>
      <c r="D11">
        <v>34960.5</v>
      </c>
      <c r="E11" s="4">
        <f t="shared" si="0"/>
        <v>5.2386732206885854E-2</v>
      </c>
      <c r="F11" s="18">
        <f t="shared" si="1"/>
        <v>5.1254214924497878</v>
      </c>
    </row>
    <row r="12" spans="1:12" x14ac:dyDescent="0.3">
      <c r="A12">
        <v>10</v>
      </c>
      <c r="B12" t="s">
        <v>12</v>
      </c>
      <c r="C12">
        <v>607.75</v>
      </c>
      <c r="D12">
        <v>30663.52</v>
      </c>
      <c r="E12" s="4">
        <f t="shared" si="0"/>
        <v>4.5947901510575893E-2</v>
      </c>
      <c r="F12" s="18">
        <f t="shared" si="1"/>
        <v>50.454167009461131</v>
      </c>
    </row>
    <row r="13" spans="1:12" x14ac:dyDescent="0.3">
      <c r="A13">
        <v>11</v>
      </c>
      <c r="B13" t="s">
        <v>13</v>
      </c>
      <c r="C13">
        <v>1736.9</v>
      </c>
      <c r="D13">
        <v>23690.11</v>
      </c>
      <c r="E13" s="4">
        <f t="shared" si="0"/>
        <v>3.5498561191106212E-2</v>
      </c>
      <c r="F13" s="18">
        <f t="shared" si="1"/>
        <v>13.639305659508318</v>
      </c>
    </row>
    <row r="14" spans="1:12" x14ac:dyDescent="0.3">
      <c r="A14">
        <v>12</v>
      </c>
      <c r="B14" t="s">
        <v>15</v>
      </c>
      <c r="C14">
        <v>6817.5</v>
      </c>
      <c r="D14">
        <v>20071.919999999998</v>
      </c>
      <c r="E14" s="4">
        <f t="shared" si="0"/>
        <v>3.0076866690065537E-2</v>
      </c>
      <c r="F14" s="18">
        <f t="shared" si="1"/>
        <v>2.9441760176017597</v>
      </c>
    </row>
    <row r="15" spans="1:12" x14ac:dyDescent="0.3">
      <c r="A15">
        <v>13</v>
      </c>
      <c r="B15" t="s">
        <v>16</v>
      </c>
      <c r="C15">
        <v>507.5</v>
      </c>
      <c r="D15">
        <v>18401.669999999998</v>
      </c>
      <c r="E15" s="4">
        <f t="shared" si="0"/>
        <v>2.7574072408846701E-2</v>
      </c>
      <c r="F15" s="18">
        <f t="shared" si="1"/>
        <v>36.259448275862063</v>
      </c>
    </row>
    <row r="16" spans="1:12" x14ac:dyDescent="0.3">
      <c r="A16">
        <v>14</v>
      </c>
      <c r="B16" t="s">
        <v>17</v>
      </c>
      <c r="C16">
        <v>1265.25</v>
      </c>
      <c r="D16">
        <v>15972.24</v>
      </c>
      <c r="E16" s="4">
        <f t="shared" si="0"/>
        <v>2.3933681143693899E-2</v>
      </c>
      <c r="F16" s="18">
        <f t="shared" si="1"/>
        <v>12.623781861292235</v>
      </c>
    </row>
    <row r="17" spans="1:20" x14ac:dyDescent="0.3">
      <c r="A17">
        <v>15</v>
      </c>
      <c r="B17" t="s">
        <v>18</v>
      </c>
      <c r="C17">
        <v>3641.9</v>
      </c>
      <c r="D17">
        <v>15764.2</v>
      </c>
      <c r="E17" s="4">
        <f t="shared" si="0"/>
        <v>2.3621942588229288E-2</v>
      </c>
      <c r="F17" s="18">
        <f t="shared" si="1"/>
        <v>4.328564760152668</v>
      </c>
    </row>
    <row r="18" spans="1:20" x14ac:dyDescent="0.3">
      <c r="D18">
        <f>SUM(D3:D17)</f>
        <v>667354.09</v>
      </c>
      <c r="E18" s="5">
        <f>SUM(E3:E17)</f>
        <v>0.99999999999999978</v>
      </c>
    </row>
    <row r="22" spans="1:20" x14ac:dyDescent="0.3">
      <c r="B22" s="15">
        <v>46153</v>
      </c>
      <c r="E22" s="5"/>
      <c r="M22" s="15">
        <v>46183</v>
      </c>
      <c r="P22" s="5"/>
    </row>
    <row r="23" spans="1:20" ht="15.6" x14ac:dyDescent="0.3">
      <c r="A23" s="1" t="s">
        <v>1</v>
      </c>
      <c r="B23" s="1" t="s">
        <v>2</v>
      </c>
      <c r="C23" s="1" t="s">
        <v>68</v>
      </c>
      <c r="D23" s="1" t="s">
        <v>69</v>
      </c>
      <c r="E23" s="1" t="s">
        <v>70</v>
      </c>
      <c r="F23" s="1" t="s">
        <v>78</v>
      </c>
      <c r="H23" s="17" t="s">
        <v>76</v>
      </c>
      <c r="I23" s="17">
        <f>I2*E39</f>
        <v>45.687836873348736</v>
      </c>
      <c r="L23" s="1" t="s">
        <v>1</v>
      </c>
      <c r="M23" s="1" t="s">
        <v>2</v>
      </c>
      <c r="N23" s="1" t="s">
        <v>68</v>
      </c>
      <c r="O23" s="1" t="s">
        <v>69</v>
      </c>
      <c r="P23" s="1" t="s">
        <v>70</v>
      </c>
      <c r="Q23" s="1" t="s">
        <v>78</v>
      </c>
      <c r="S23" s="17" t="s">
        <v>76</v>
      </c>
      <c r="T23" s="17">
        <f>I404*P39</f>
        <v>-0.57798192990514707</v>
      </c>
    </row>
    <row r="24" spans="1:20" ht="15.6" x14ac:dyDescent="0.3">
      <c r="A24">
        <v>1</v>
      </c>
      <c r="B24" t="s">
        <v>6</v>
      </c>
      <c r="C24" s="6">
        <v>1437.19995117187</v>
      </c>
      <c r="D24" s="4">
        <f>(C24-C3)/C3</f>
        <v>4.4704478572268627E-2</v>
      </c>
      <c r="E24" s="11">
        <f>D24*$E$3</f>
        <v>9.3792984978389709E-3</v>
      </c>
      <c r="F24">
        <f>C24*$F$3</f>
        <v>146274.66321386371</v>
      </c>
      <c r="H24" s="17" t="s">
        <v>77</v>
      </c>
      <c r="I24" s="17">
        <f>I23+I2</f>
        <v>1045.6878368733487</v>
      </c>
      <c r="L24">
        <v>1</v>
      </c>
      <c r="M24" t="s">
        <v>6</v>
      </c>
      <c r="N24" s="6">
        <v>1506.5</v>
      </c>
      <c r="O24" s="4">
        <f>(N24-C404)/C404</f>
        <v>1.6668882681853014E-2</v>
      </c>
      <c r="P24" s="11">
        <f>O24*$E$3</f>
        <v>3.497243034516487E-3</v>
      </c>
      <c r="Q24">
        <f>$F$3*N24</f>
        <v>153327.85111216109</v>
      </c>
      <c r="S24" s="17" t="s">
        <v>77</v>
      </c>
      <c r="T24" s="17">
        <f>T23+I404</f>
        <v>1051.4564030646766</v>
      </c>
    </row>
    <row r="25" spans="1:20" x14ac:dyDescent="0.3">
      <c r="A25">
        <v>2</v>
      </c>
      <c r="B25" t="s">
        <v>7</v>
      </c>
      <c r="C25" s="6">
        <v>16263</v>
      </c>
      <c r="D25" s="4">
        <f>(C25-C4)/C4</f>
        <v>5.337133234017747E-2</v>
      </c>
      <c r="E25" s="11">
        <f>D25*$E$4</f>
        <v>1.1173050201952877E-2</v>
      </c>
      <c r="F25">
        <f>C25*$F$4</f>
        <v>147163.98075004859</v>
      </c>
      <c r="L25">
        <v>2</v>
      </c>
      <c r="M25" t="s">
        <v>7</v>
      </c>
      <c r="N25" s="6">
        <v>17697</v>
      </c>
      <c r="O25" s="4">
        <f t="shared" ref="O25:O37" si="2">(N25-C405)/C405</f>
        <v>-3.1203810149449826E-2</v>
      </c>
      <c r="P25" s="11">
        <f>O25*$E$4</f>
        <v>-6.5323783762758943E-3</v>
      </c>
      <c r="Q25">
        <f>$F$4*N25</f>
        <v>160140.2550165166</v>
      </c>
    </row>
    <row r="26" spans="1:20" x14ac:dyDescent="0.3">
      <c r="A26">
        <v>3</v>
      </c>
      <c r="B26" t="s">
        <v>9</v>
      </c>
      <c r="C26" s="6">
        <v>7741</v>
      </c>
      <c r="D26" s="4">
        <f>(C26-C5)/C5</f>
        <v>5.751366120218579E-2</v>
      </c>
      <c r="E26" s="11">
        <f>D26*$E$5</f>
        <v>5.3798846126799039E-3</v>
      </c>
      <c r="F26">
        <f>C26*$F$5</f>
        <v>66015.248000000007</v>
      </c>
      <c r="L26">
        <v>3</v>
      </c>
      <c r="M26" t="s">
        <v>9</v>
      </c>
      <c r="N26" s="6">
        <v>6750.5</v>
      </c>
      <c r="O26" s="4">
        <f t="shared" si="2"/>
        <v>-1.5244347191830781E-2</v>
      </c>
      <c r="P26" s="11">
        <f>O26*$E$5</f>
        <v>-1.4259712766219036E-3</v>
      </c>
      <c r="Q26">
        <f>$F$5*N26</f>
        <v>57568.264000000003</v>
      </c>
    </row>
    <row r="27" spans="1:20" x14ac:dyDescent="0.3">
      <c r="A27">
        <v>4</v>
      </c>
      <c r="B27" t="s">
        <v>10</v>
      </c>
      <c r="C27" s="6">
        <v>3737.30004882812</v>
      </c>
      <c r="D27" s="4">
        <f t="shared" ref="D27:D38" si="3">(C27-C6)/C6</f>
        <v>3.7562478852892836E-2</v>
      </c>
      <c r="E27" s="11">
        <f>D27*$E$6</f>
        <v>2.2271101033888895E-3</v>
      </c>
      <c r="F27">
        <f>C27*$F$6</f>
        <v>41054.241036376901</v>
      </c>
      <c r="L27">
        <v>4</v>
      </c>
      <c r="M27" t="s">
        <v>10</v>
      </c>
      <c r="N27" s="6">
        <v>3641</v>
      </c>
      <c r="O27" s="4">
        <f t="shared" si="2"/>
        <v>1.7380113536169032E-2</v>
      </c>
      <c r="P27" s="11">
        <f>O27*$E$6</f>
        <v>1.0304811513116375E-3</v>
      </c>
      <c r="Q27">
        <f>$F$6*N27</f>
        <v>39996.385000000002</v>
      </c>
    </row>
    <row r="28" spans="1:20" x14ac:dyDescent="0.3">
      <c r="A28">
        <v>5</v>
      </c>
      <c r="B28" t="s">
        <v>14</v>
      </c>
      <c r="C28" s="6">
        <v>761.34997558593705</v>
      </c>
      <c r="D28" s="4">
        <f t="shared" si="3"/>
        <v>-5.8899906568681035E-2</v>
      </c>
      <c r="E28" s="11">
        <f>D28*$E$7</f>
        <v>-1.819022022286612E-3</v>
      </c>
      <c r="F28">
        <f>C28*$F$7</f>
        <v>19396.148213626959</v>
      </c>
      <c r="L28">
        <v>5</v>
      </c>
      <c r="M28" t="s">
        <v>14</v>
      </c>
      <c r="N28" s="6">
        <v>720.40002441406205</v>
      </c>
      <c r="O28" s="4">
        <f t="shared" si="2"/>
        <v>6.9187394263383268E-3</v>
      </c>
      <c r="P28" s="11">
        <f>O28*$E$7</f>
        <v>2.1367333356117895E-4</v>
      </c>
      <c r="Q28">
        <f>$F$7*N28</f>
        <v>18352.907460044218</v>
      </c>
    </row>
    <row r="29" spans="1:20" x14ac:dyDescent="0.3">
      <c r="A29">
        <v>6</v>
      </c>
      <c r="B29" t="s">
        <v>19</v>
      </c>
      <c r="C29" s="6">
        <v>1200.69995117187</v>
      </c>
      <c r="D29" s="4">
        <f t="shared" si="3"/>
        <v>2.4662870090348218E-2</v>
      </c>
      <c r="E29" s="11">
        <f>D29*$E$8</f>
        <v>5.7457538447630737E-4</v>
      </c>
      <c r="F29">
        <f>C29*$F$8</f>
        <v>15930.915232843585</v>
      </c>
      <c r="L29">
        <v>6</v>
      </c>
      <c r="M29" t="s">
        <v>19</v>
      </c>
      <c r="N29" s="6">
        <v>1124.59997558593</v>
      </c>
      <c r="O29" s="4">
        <f t="shared" si="2"/>
        <v>-9.1630171049074914E-3</v>
      </c>
      <c r="P29" s="11">
        <f>O29*$E$8</f>
        <v>-2.1347248137497155E-4</v>
      </c>
      <c r="Q29">
        <f>$F$8*N29</f>
        <v>14921.218964347994</v>
      </c>
    </row>
    <row r="30" spans="1:20" x14ac:dyDescent="0.3">
      <c r="A30">
        <v>7</v>
      </c>
      <c r="B30" t="s">
        <v>20</v>
      </c>
      <c r="C30" s="6">
        <v>1361.09997558593</v>
      </c>
      <c r="D30" s="4">
        <f t="shared" si="3"/>
        <v>1.2873921406407236E-2</v>
      </c>
      <c r="E30" s="11">
        <f>D30*$E$9</f>
        <v>2.9513170611022993E-4</v>
      </c>
      <c r="F30">
        <f>C30*$F$9</f>
        <v>15495.897351161342</v>
      </c>
      <c r="L30">
        <v>7</v>
      </c>
      <c r="M30" t="s">
        <v>20</v>
      </c>
      <c r="N30" s="6">
        <v>1272.30004882812</v>
      </c>
      <c r="O30" s="4">
        <f t="shared" si="2"/>
        <v>4.0246984317933226E-3</v>
      </c>
      <c r="P30" s="11">
        <f>O30*$E$9</f>
        <v>9.2265291767523511E-5</v>
      </c>
      <c r="Q30">
        <f>$F$9*N30</f>
        <v>14484.924921132966</v>
      </c>
    </row>
    <row r="31" spans="1:20" x14ac:dyDescent="0.3">
      <c r="A31">
        <v>8</v>
      </c>
      <c r="B31" t="s">
        <v>8</v>
      </c>
      <c r="C31" s="6">
        <v>2798.5</v>
      </c>
      <c r="D31" s="4">
        <f t="shared" si="3"/>
        <v>0.11113316922099584</v>
      </c>
      <c r="E31" s="11">
        <f>D31*$E$10</f>
        <v>1.2432577208160439E-2</v>
      </c>
      <c r="F31">
        <f>C31*$F$10</f>
        <v>82954.49124910665</v>
      </c>
      <c r="L31">
        <v>8</v>
      </c>
      <c r="M31" t="s">
        <v>8</v>
      </c>
      <c r="N31" s="6">
        <v>2734.10009765625</v>
      </c>
      <c r="O31" s="4">
        <f t="shared" si="2"/>
        <v>1.6545210583081789E-2</v>
      </c>
      <c r="P31" s="11">
        <f>O31*$E$10</f>
        <v>1.8509290200335231E-3</v>
      </c>
      <c r="Q31">
        <f>$F$10*N31</f>
        <v>81045.518179455787</v>
      </c>
    </row>
    <row r="32" spans="1:20" x14ac:dyDescent="0.3">
      <c r="A32">
        <v>9</v>
      </c>
      <c r="B32" t="s">
        <v>11</v>
      </c>
      <c r="C32" s="6">
        <v>7071.5</v>
      </c>
      <c r="D32" s="4">
        <f t="shared" si="3"/>
        <v>3.6724820407564876E-2</v>
      </c>
      <c r="E32" s="11">
        <f>D32*$E$11</f>
        <v>1.9238933320370778E-3</v>
      </c>
      <c r="F32">
        <f>C32*$F$11</f>
        <v>36244.418083858676</v>
      </c>
      <c r="L32">
        <v>9</v>
      </c>
      <c r="M32" t="s">
        <v>11</v>
      </c>
      <c r="N32" s="6">
        <v>7038.03271484375</v>
      </c>
      <c r="O32" s="4">
        <f t="shared" si="2"/>
        <v>3.1925055929773009E-2</v>
      </c>
      <c r="P32" s="11">
        <f>O32*$E$11</f>
        <v>1.6724493556828719E-3</v>
      </c>
      <c r="Q32" s="18">
        <f>$F$11*N32</f>
        <v>36072.884141224888</v>
      </c>
    </row>
    <row r="33" spans="1:20" x14ac:dyDescent="0.3">
      <c r="A33">
        <v>10</v>
      </c>
      <c r="B33" t="s">
        <v>12</v>
      </c>
      <c r="C33" s="6">
        <v>615.11560058593705</v>
      </c>
      <c r="D33" s="4">
        <f t="shared" si="3"/>
        <v>1.2119457977683332E-2</v>
      </c>
      <c r="E33" s="11">
        <f>D33*$E$12</f>
        <v>5.5686366152015701E-4</v>
      </c>
      <c r="F33">
        <f>C33*$F$12</f>
        <v>31035.145242087856</v>
      </c>
      <c r="L33">
        <v>10</v>
      </c>
      <c r="M33" t="s">
        <v>12</v>
      </c>
      <c r="N33" s="6">
        <v>693</v>
      </c>
      <c r="O33" s="4">
        <f t="shared" si="2"/>
        <v>1.9867549668874173E-2</v>
      </c>
      <c r="P33" s="11">
        <f>O33*$E$12</f>
        <v>9.1287221544190521E-4</v>
      </c>
      <c r="Q33">
        <f>$F$12*N33</f>
        <v>34964.737737556563</v>
      </c>
    </row>
    <row r="34" spans="1:20" x14ac:dyDescent="0.3">
      <c r="A34">
        <v>11</v>
      </c>
      <c r="B34" t="s">
        <v>13</v>
      </c>
      <c r="C34" s="6">
        <v>1863.59997558593</v>
      </c>
      <c r="D34" s="4">
        <f t="shared" si="3"/>
        <v>7.2946039257257123E-2</v>
      </c>
      <c r="E34" s="11">
        <f>D34*$E$13</f>
        <v>2.589479438222578E-3</v>
      </c>
      <c r="F34">
        <f>C34*$F$13</f>
        <v>25418.209694068741</v>
      </c>
      <c r="L34">
        <v>11</v>
      </c>
      <c r="M34" t="s">
        <v>13</v>
      </c>
      <c r="N34" s="6">
        <v>1664.69995117187</v>
      </c>
      <c r="O34" s="4">
        <f t="shared" si="2"/>
        <v>-8.1034959545799486E-3</v>
      </c>
      <c r="P34" s="11">
        <f>O34*$E$13</f>
        <v>-2.8766244700553794E-4</v>
      </c>
      <c r="Q34">
        <f>$F$13*N34</f>
        <v>22705.351465401709</v>
      </c>
    </row>
    <row r="35" spans="1:20" x14ac:dyDescent="0.3">
      <c r="A35">
        <v>12</v>
      </c>
      <c r="B35" t="s">
        <v>15</v>
      </c>
      <c r="C35" s="6">
        <v>6892</v>
      </c>
      <c r="D35" s="4">
        <f t="shared" si="3"/>
        <v>1.0927759442610928E-2</v>
      </c>
      <c r="E35" s="11">
        <f>D35*$E$14</f>
        <v>3.2867276397651374E-4</v>
      </c>
      <c r="F35">
        <f>C35*$F$14</f>
        <v>20291.261113311328</v>
      </c>
      <c r="L35">
        <v>12</v>
      </c>
      <c r="M35" t="s">
        <v>15</v>
      </c>
      <c r="N35" s="6">
        <v>6641.5</v>
      </c>
      <c r="O35" s="4">
        <f t="shared" si="2"/>
        <v>-1.8785692816351068E-3</v>
      </c>
      <c r="P35" s="11">
        <f>O35*$E$14</f>
        <v>-5.6501477851791285E-5</v>
      </c>
      <c r="Q35">
        <f>$F$14*N35</f>
        <v>19553.745020902086</v>
      </c>
    </row>
    <row r="36" spans="1:20" x14ac:dyDescent="0.3">
      <c r="A36">
        <v>13</v>
      </c>
      <c r="B36" t="s">
        <v>16</v>
      </c>
      <c r="C36" s="6">
        <v>487.45001220703102</v>
      </c>
      <c r="D36" s="4">
        <f t="shared" si="3"/>
        <v>-3.9507365109298476E-2</v>
      </c>
      <c r="E36" s="11">
        <f>D36*$E$15</f>
        <v>-1.08937894620654E-3</v>
      </c>
      <c r="F36">
        <f>C36*$F$15</f>
        <v>17674.668504689173</v>
      </c>
      <c r="L36">
        <v>13</v>
      </c>
      <c r="M36" t="s">
        <v>16</v>
      </c>
      <c r="N36" s="6">
        <v>433.64999389648398</v>
      </c>
      <c r="O36" s="4">
        <f t="shared" si="2"/>
        <v>-1.5326975689256225E-2</v>
      </c>
      <c r="P36" s="11">
        <f>O36*$E$15</f>
        <v>-4.226271374641842E-4</v>
      </c>
      <c r="Q36">
        <f>$F$15*N36</f>
        <v>15723.909523517461</v>
      </c>
    </row>
    <row r="37" spans="1:20" x14ac:dyDescent="0.3">
      <c r="A37">
        <v>14</v>
      </c>
      <c r="B37" t="s">
        <v>17</v>
      </c>
      <c r="C37" s="6">
        <v>1277.80004882812</v>
      </c>
      <c r="D37" s="4">
        <f t="shared" si="3"/>
        <v>9.9190269339023886E-3</v>
      </c>
      <c r="E37" s="11">
        <f>D37*$E$16</f>
        <v>2.3739882789173151E-4</v>
      </c>
      <c r="F37">
        <f>C37*$F$16</f>
        <v>16130.669078754754</v>
      </c>
      <c r="L37">
        <v>14</v>
      </c>
      <c r="M37" t="s">
        <v>17</v>
      </c>
      <c r="N37" s="6">
        <v>1494.90002441406</v>
      </c>
      <c r="O37" s="4">
        <f t="shared" si="2"/>
        <v>-1.5606447749826752E-2</v>
      </c>
      <c r="P37" s="11">
        <f>O37*$E$16</f>
        <v>-3.7351974423007259E-4</v>
      </c>
      <c r="Q37">
        <f>$F$16*N37</f>
        <v>18871.291812643529</v>
      </c>
    </row>
    <row r="38" spans="1:20" x14ac:dyDescent="0.3">
      <c r="A38">
        <v>15</v>
      </c>
      <c r="B38" t="s">
        <v>18</v>
      </c>
      <c r="C38" s="6">
        <v>3872.89990234375</v>
      </c>
      <c r="D38" s="4">
        <f t="shared" si="3"/>
        <v>6.3428403400354189E-2</v>
      </c>
      <c r="E38" s="11">
        <f>D38*$E$17</f>
        <v>1.498302103586214E-3</v>
      </c>
      <c r="F38">
        <f>C38*$F$17</f>
        <v>16764.098036883865</v>
      </c>
      <c r="L38">
        <v>15</v>
      </c>
      <c r="M38" t="s">
        <v>18</v>
      </c>
      <c r="N38" s="6">
        <v>3286</v>
      </c>
      <c r="O38" s="4">
        <f>(N38-C418)/C418</f>
        <v>-2.1470502831815969E-2</v>
      </c>
      <c r="P38" s="11">
        <f>O38*$E$17</f>
        <v>-5.0717498523357115E-4</v>
      </c>
      <c r="Q38">
        <f>$F$17*N38</f>
        <v>14223.663801861667</v>
      </c>
    </row>
    <row r="39" spans="1:20" x14ac:dyDescent="0.3">
      <c r="E39" s="16">
        <f>SUM(E24:E38)</f>
        <v>4.5687836873348736E-2</v>
      </c>
      <c r="F39">
        <f>SUM(F24:F38)</f>
        <v>697844.05480068212</v>
      </c>
      <c r="P39" s="16">
        <f>SUM(P24:P38)</f>
        <v>-5.4939452374279949E-4</v>
      </c>
      <c r="Q39">
        <f>SUM(Q24:Q38)</f>
        <v>701952.90815676667</v>
      </c>
    </row>
    <row r="40" spans="1:20" x14ac:dyDescent="0.3">
      <c r="E40" s="11"/>
    </row>
    <row r="42" spans="1:20" x14ac:dyDescent="0.3">
      <c r="B42" s="15">
        <v>46154</v>
      </c>
      <c r="E42" s="5"/>
      <c r="M42" s="15">
        <v>46184</v>
      </c>
      <c r="P42" s="5"/>
    </row>
    <row r="43" spans="1:20" ht="15.6" x14ac:dyDescent="0.3">
      <c r="A43" s="1" t="s">
        <v>1</v>
      </c>
      <c r="B43" s="1" t="s">
        <v>2</v>
      </c>
      <c r="C43" s="1" t="s">
        <v>68</v>
      </c>
      <c r="D43" s="1" t="s">
        <v>69</v>
      </c>
      <c r="E43" s="1" t="s">
        <v>70</v>
      </c>
      <c r="F43" s="1" t="s">
        <v>78</v>
      </c>
      <c r="H43" s="17" t="s">
        <v>76</v>
      </c>
      <c r="I43" s="17">
        <f>I24*E59</f>
        <v>-20.492708763770732</v>
      </c>
      <c r="L43" s="1" t="s">
        <v>1</v>
      </c>
      <c r="M43" s="1" t="s">
        <v>2</v>
      </c>
      <c r="N43" s="1" t="s">
        <v>68</v>
      </c>
      <c r="O43" s="1" t="s">
        <v>69</v>
      </c>
      <c r="P43" s="1" t="s">
        <v>70</v>
      </c>
      <c r="Q43" s="1" t="s">
        <v>78</v>
      </c>
      <c r="S43" s="17" t="s">
        <v>76</v>
      </c>
      <c r="T43" s="17">
        <f>T24*P59</f>
        <v>-12.802236403945557</v>
      </c>
    </row>
    <row r="44" spans="1:20" ht="15.6" x14ac:dyDescent="0.3">
      <c r="A44">
        <v>1</v>
      </c>
      <c r="B44" t="s">
        <v>6</v>
      </c>
      <c r="C44" s="6">
        <v>1453</v>
      </c>
      <c r="D44" s="4">
        <f>(C44-C24)/C24</f>
        <v>1.0993633012057155E-2</v>
      </c>
      <c r="E44" s="11">
        <f>D44*$E$3</f>
        <v>2.3065377091713588E-3</v>
      </c>
      <c r="F44">
        <f>$F$3*C44</f>
        <v>147882.75318019916</v>
      </c>
      <c r="H44" s="17" t="s">
        <v>77</v>
      </c>
      <c r="I44" s="17">
        <f>I43+I24</f>
        <v>1025.195128109578</v>
      </c>
      <c r="L44">
        <v>1</v>
      </c>
      <c r="M44" t="s">
        <v>6</v>
      </c>
      <c r="N44" s="6">
        <v>1498.80004882812</v>
      </c>
      <c r="O44" s="4">
        <f>(N44-N24)/N24</f>
        <v>-5.1111524539528726E-3</v>
      </c>
      <c r="P44" s="11">
        <f>O44*$E$3</f>
        <v>-1.0723539579169589E-3</v>
      </c>
      <c r="Q44">
        <f>$F$3*N44</f>
        <v>152544.16908968985</v>
      </c>
      <c r="S44" s="17" t="s">
        <v>77</v>
      </c>
      <c r="T44" s="17">
        <f>T24+T43</f>
        <v>1038.6541666607311</v>
      </c>
    </row>
    <row r="45" spans="1:20" x14ac:dyDescent="0.3">
      <c r="A45">
        <v>2</v>
      </c>
      <c r="B45" t="s">
        <v>7</v>
      </c>
      <c r="C45" s="6">
        <v>15585</v>
      </c>
      <c r="D45" s="4">
        <f>(C45-C25)/C25</f>
        <v>-4.1689725142962555E-2</v>
      </c>
      <c r="E45" s="11">
        <f>D45*$E$4</f>
        <v>-8.7275578761837752E-3</v>
      </c>
      <c r="F45">
        <f>$F$4*C45</f>
        <v>141028.75484163483</v>
      </c>
      <c r="L45">
        <v>2</v>
      </c>
      <c r="M45" t="s">
        <v>7</v>
      </c>
      <c r="N45" s="6">
        <v>17141</v>
      </c>
      <c r="O45" s="4">
        <f t="shared" ref="O45:O58" si="4">(N45-N25)/N25</f>
        <v>-3.1417754421653385E-2</v>
      </c>
      <c r="P45" s="11">
        <f>O45*$E$4</f>
        <v>-6.5771666547193601E-3</v>
      </c>
      <c r="Q45">
        <f>$F$4*N45</f>
        <v>155109.00781138675</v>
      </c>
    </row>
    <row r="46" spans="1:20" x14ac:dyDescent="0.3">
      <c r="A46">
        <v>3</v>
      </c>
      <c r="B46" t="s">
        <v>9</v>
      </c>
      <c r="C46" s="6">
        <v>7455</v>
      </c>
      <c r="D46" s="4">
        <f t="shared" ref="D46:D58" si="5">(C46-C26)/C26</f>
        <v>-3.6946130990828059E-2</v>
      </c>
      <c r="E46" s="11">
        <f>D46*$E$5</f>
        <v>-3.4559775444804749E-3</v>
      </c>
      <c r="F46">
        <f>$F$5*C46</f>
        <v>63576.240000000005</v>
      </c>
      <c r="L46">
        <v>3</v>
      </c>
      <c r="M46" t="s">
        <v>9</v>
      </c>
      <c r="N46" s="6">
        <v>6716</v>
      </c>
      <c r="O46" s="4">
        <f t="shared" si="4"/>
        <v>-5.1107325383304937E-3</v>
      </c>
      <c r="P46" s="11">
        <f>O46*$E$5</f>
        <v>-4.7806296395962677E-4</v>
      </c>
      <c r="Q46">
        <f>$F$5*N46</f>
        <v>57274.048000000003</v>
      </c>
    </row>
    <row r="47" spans="1:20" x14ac:dyDescent="0.3">
      <c r="A47">
        <v>4</v>
      </c>
      <c r="B47" t="s">
        <v>10</v>
      </c>
      <c r="C47" s="6">
        <v>3644.89990234375</v>
      </c>
      <c r="D47" s="4">
        <f t="shared" si="5"/>
        <v>-2.4723769907996358E-2</v>
      </c>
      <c r="E47" s="11">
        <f>D47*$E$6</f>
        <v>-1.465892545899438E-3</v>
      </c>
      <c r="F47">
        <f>$F$6*C47</f>
        <v>40039.2254272461</v>
      </c>
      <c r="L47">
        <v>4</v>
      </c>
      <c r="M47" t="s">
        <v>10</v>
      </c>
      <c r="N47" s="6">
        <v>3680.5</v>
      </c>
      <c r="O47" s="4">
        <f t="shared" si="4"/>
        <v>1.0848667948365833E-2</v>
      </c>
      <c r="P47" s="11">
        <f>O47*$E$6</f>
        <v>6.4322639862880119E-4</v>
      </c>
      <c r="Q47">
        <f>$F$6*N47</f>
        <v>40430.292500000003</v>
      </c>
    </row>
    <row r="48" spans="1:20" x14ac:dyDescent="0.3">
      <c r="A48">
        <v>5</v>
      </c>
      <c r="B48" t="s">
        <v>14</v>
      </c>
      <c r="C48" s="6">
        <v>770.25</v>
      </c>
      <c r="D48" s="4">
        <f t="shared" si="5"/>
        <v>1.1689794049331218E-2</v>
      </c>
      <c r="E48" s="11">
        <f>D48*$E$7</f>
        <v>3.6101912635350803E-4</v>
      </c>
      <c r="F48">
        <f>$F$7*C48</f>
        <v>19622.885191594563</v>
      </c>
      <c r="L48">
        <v>5</v>
      </c>
      <c r="M48" t="s">
        <v>14</v>
      </c>
      <c r="N48" s="6">
        <v>741.20001220703102</v>
      </c>
      <c r="O48" s="4">
        <f t="shared" si="4"/>
        <v>2.8872830494261387E-2</v>
      </c>
      <c r="P48" s="11">
        <f>O48*$E$7</f>
        <v>8.9168756920807483E-4</v>
      </c>
      <c r="Q48">
        <f>$F$7*N48</f>
        <v>18882.807846214939</v>
      </c>
    </row>
    <row r="49" spans="1:20" x14ac:dyDescent="0.3">
      <c r="A49">
        <v>6</v>
      </c>
      <c r="B49" t="s">
        <v>19</v>
      </c>
      <c r="C49" s="6">
        <v>1155.69995117187</v>
      </c>
      <c r="D49" s="4">
        <f t="shared" si="5"/>
        <v>-3.7478139277077917E-2</v>
      </c>
      <c r="E49" s="11">
        <f>D49*$E$8</f>
        <v>-8.7313504899054505E-4</v>
      </c>
      <c r="F49">
        <f>$F$8*C49</f>
        <v>15333.854172935751</v>
      </c>
      <c r="L49">
        <v>6</v>
      </c>
      <c r="M49" t="s">
        <v>19</v>
      </c>
      <c r="N49" s="6">
        <v>1128.80004882812</v>
      </c>
      <c r="O49" s="4">
        <f t="shared" si="4"/>
        <v>3.7347264212785644E-3</v>
      </c>
      <c r="P49" s="11">
        <f>O49*$E$8</f>
        <v>8.7008602873829463E-5</v>
      </c>
      <c r="Q49">
        <f>$F$8*N49</f>
        <v>14976.945635051827</v>
      </c>
    </row>
    <row r="50" spans="1:20" x14ac:dyDescent="0.3">
      <c r="A50">
        <v>7</v>
      </c>
      <c r="B50" t="s">
        <v>20</v>
      </c>
      <c r="C50" s="6">
        <v>1359.5</v>
      </c>
      <c r="D50" s="4">
        <f t="shared" si="5"/>
        <v>-1.1755018842324457E-3</v>
      </c>
      <c r="E50" s="11">
        <f>D50*$E$9</f>
        <v>-2.6948112053616298E-5</v>
      </c>
      <c r="F50">
        <f>$F$9*C50</f>
        <v>15477.681894627178</v>
      </c>
      <c r="L50">
        <v>7</v>
      </c>
      <c r="M50" t="s">
        <v>20</v>
      </c>
      <c r="N50" s="6">
        <v>1258</v>
      </c>
      <c r="O50" s="4">
        <f t="shared" si="4"/>
        <v>-1.123952548873308E-2</v>
      </c>
      <c r="P50" s="11">
        <f>O50*$E$9</f>
        <v>-2.5766355321295487E-4</v>
      </c>
      <c r="Q50">
        <f>$F$9*N50</f>
        <v>14322.121238279507</v>
      </c>
    </row>
    <row r="51" spans="1:20" x14ac:dyDescent="0.3">
      <c r="A51">
        <v>8</v>
      </c>
      <c r="B51" t="s">
        <v>8</v>
      </c>
      <c r="C51" s="6">
        <v>2721.19995117187</v>
      </c>
      <c r="D51" s="4">
        <f t="shared" si="5"/>
        <v>-2.7621957773139184E-2</v>
      </c>
      <c r="E51" s="11">
        <f>D51*$E$10</f>
        <v>-3.0900956488715083E-3</v>
      </c>
      <c r="F51">
        <f>$F$10*C51</f>
        <v>80663.125794731575</v>
      </c>
      <c r="L51">
        <v>8</v>
      </c>
      <c r="M51" t="s">
        <v>8</v>
      </c>
      <c r="N51" s="6">
        <v>2658.39990234375</v>
      </c>
      <c r="O51" s="4">
        <f t="shared" si="4"/>
        <v>-2.7687426432335967E-2</v>
      </c>
      <c r="P51" s="11">
        <f>O51*$E$10</f>
        <v>-3.0974196923221199E-3</v>
      </c>
      <c r="Q51">
        <f>$F$10*N51</f>
        <v>78801.57635719156</v>
      </c>
    </row>
    <row r="52" spans="1:20" x14ac:dyDescent="0.3">
      <c r="A52">
        <v>9</v>
      </c>
      <c r="B52" t="s">
        <v>11</v>
      </c>
      <c r="C52" s="6">
        <v>6950.5</v>
      </c>
      <c r="D52" s="4">
        <f t="shared" si="5"/>
        <v>-1.7110938273350775E-2</v>
      </c>
      <c r="E52" s="11">
        <f>D52*$E$11</f>
        <v>-8.963861411345809E-4</v>
      </c>
      <c r="F52" s="18">
        <f>$F$11*C52</f>
        <v>35624.242083272249</v>
      </c>
      <c r="L52">
        <v>9</v>
      </c>
      <c r="M52" t="s">
        <v>11</v>
      </c>
      <c r="N52" s="6">
        <v>7148.39990234375</v>
      </c>
      <c r="O52" s="4">
        <f t="shared" si="4"/>
        <v>1.5681539426099449E-2</v>
      </c>
      <c r="P52" s="11">
        <f>O52*$E$11</f>
        <v>8.2150460650679425E-4</v>
      </c>
      <c r="Q52" s="18">
        <f>$F$11*N52</f>
        <v>36638.562496098624</v>
      </c>
    </row>
    <row r="53" spans="1:20" x14ac:dyDescent="0.3">
      <c r="A53">
        <v>10</v>
      </c>
      <c r="B53" t="s">
        <v>12</v>
      </c>
      <c r="C53" s="6">
        <v>606.87677001953102</v>
      </c>
      <c r="D53" s="4">
        <f t="shared" si="5"/>
        <v>-1.3393954825008516E-2</v>
      </c>
      <c r="E53" s="11">
        <f>D53*$E$12</f>
        <v>-6.1542411713659409E-4</v>
      </c>
      <c r="F53">
        <f>$F$12*C53</f>
        <v>30619.461908727753</v>
      </c>
      <c r="L53">
        <v>10</v>
      </c>
      <c r="M53" t="s">
        <v>12</v>
      </c>
      <c r="N53" s="6">
        <v>680.04998779296795</v>
      </c>
      <c r="O53" s="4">
        <f t="shared" si="4"/>
        <v>-1.8686886301633544E-2</v>
      </c>
      <c r="P53" s="11">
        <f>O53*$E$12</f>
        <v>-8.5862321132678786E-4</v>
      </c>
      <c r="Q53">
        <f>$F$12*N53</f>
        <v>34311.355658888409</v>
      </c>
    </row>
    <row r="54" spans="1:20" x14ac:dyDescent="0.3">
      <c r="A54">
        <v>11</v>
      </c>
      <c r="B54" t="s">
        <v>13</v>
      </c>
      <c r="C54" s="6">
        <v>1848.30004882812</v>
      </c>
      <c r="D54" s="4">
        <f t="shared" si="5"/>
        <v>-8.2098770971488055E-3</v>
      </c>
      <c r="E54" s="11">
        <f>D54*$E$13</f>
        <v>-2.9143882450459831E-4</v>
      </c>
      <c r="F54">
        <f>$F$13*C54</f>
        <v>25209.529316450877</v>
      </c>
      <c r="L54">
        <v>11</v>
      </c>
      <c r="M54" t="s">
        <v>13</v>
      </c>
      <c r="N54" s="6">
        <v>1612.40002441406</v>
      </c>
      <c r="O54" s="4">
        <f t="shared" si="4"/>
        <v>-3.1417029069408769E-2</v>
      </c>
      <c r="P54" s="11">
        <f>O54*$E$13</f>
        <v>-1.1152593288631699E-3</v>
      </c>
      <c r="Q54">
        <f>$F$13*N54</f>
        <v>21992.01677838204</v>
      </c>
    </row>
    <row r="55" spans="1:20" x14ac:dyDescent="0.3">
      <c r="A55">
        <v>12</v>
      </c>
      <c r="B55" t="s">
        <v>15</v>
      </c>
      <c r="C55" s="6">
        <v>6851.5</v>
      </c>
      <c r="D55" s="4">
        <f t="shared" si="5"/>
        <v>-5.8763784097504356E-3</v>
      </c>
      <c r="E55" s="11">
        <f>D55*$E$14</f>
        <v>-1.7674305005044316E-4</v>
      </c>
      <c r="F55">
        <f>$F$14*C55</f>
        <v>20172.021984598457</v>
      </c>
      <c r="L55">
        <v>12</v>
      </c>
      <c r="M55" t="s">
        <v>15</v>
      </c>
      <c r="N55" s="6">
        <v>6496.5</v>
      </c>
      <c r="O55" s="4">
        <f t="shared" si="4"/>
        <v>-2.1832417375592862E-2</v>
      </c>
      <c r="P55" s="11">
        <f>O55*$E$14</f>
        <v>-6.5665070692757697E-4</v>
      </c>
      <c r="Q55">
        <f>$F$14*N55</f>
        <v>19126.839498349833</v>
      </c>
    </row>
    <row r="56" spans="1:20" x14ac:dyDescent="0.3">
      <c r="A56">
        <v>13</v>
      </c>
      <c r="B56" t="s">
        <v>16</v>
      </c>
      <c r="C56" s="6">
        <v>468.5</v>
      </c>
      <c r="D56" s="4">
        <f t="shared" si="5"/>
        <v>-3.8875806200580267E-2</v>
      </c>
      <c r="E56" s="11">
        <f>D56*$E$15</f>
        <v>-1.0719642951270917E-3</v>
      </c>
      <c r="F56">
        <f>$F$15*C56</f>
        <v>16987.551517241376</v>
      </c>
      <c r="L56">
        <v>13</v>
      </c>
      <c r="M56" t="s">
        <v>16</v>
      </c>
      <c r="N56" s="6">
        <v>427.850006103515</v>
      </c>
      <c r="O56" s="4">
        <f t="shared" si="4"/>
        <v>-1.3374813500754907E-2</v>
      </c>
      <c r="P56" s="11">
        <f>O56*$E$15</f>
        <v>-3.6879807592463625E-4</v>
      </c>
      <c r="Q56">
        <f>$F$15*N56</f>
        <v>15513.60516613767</v>
      </c>
    </row>
    <row r="57" spans="1:20" x14ac:dyDescent="0.3">
      <c r="A57">
        <v>14</v>
      </c>
      <c r="B57" t="s">
        <v>17</v>
      </c>
      <c r="C57" s="6">
        <v>1231.90002441406</v>
      </c>
      <c r="D57" s="4">
        <f t="shared" si="5"/>
        <v>-3.5921132149083303E-2</v>
      </c>
      <c r="E57" s="11">
        <f>D57*$E$16</f>
        <v>-8.5972492317665174E-4</v>
      </c>
      <c r="F57">
        <f>$F$16*C57</f>
        <v>15551.237183123672</v>
      </c>
      <c r="L57">
        <v>14</v>
      </c>
      <c r="M57" t="s">
        <v>17</v>
      </c>
      <c r="N57" s="6">
        <v>1501.59997558593</v>
      </c>
      <c r="O57" s="4">
        <f t="shared" si="4"/>
        <v>4.4818724078194497E-3</v>
      </c>
      <c r="P57" s="11">
        <f>O57*$E$16</f>
        <v>1.0726770513547033E-4</v>
      </c>
      <c r="Q57">
        <f>$F$16*N57</f>
        <v>18955.870534718528</v>
      </c>
    </row>
    <row r="58" spans="1:20" x14ac:dyDescent="0.3">
      <c r="A58">
        <v>15</v>
      </c>
      <c r="B58" t="s">
        <v>18</v>
      </c>
      <c r="C58" s="6">
        <v>3755.89990234375</v>
      </c>
      <c r="D58" s="4">
        <f t="shared" si="5"/>
        <v>-3.0209920976577653E-2</v>
      </c>
      <c r="E58" s="11">
        <f>D58*$E$17</f>
        <v>-7.1361701890366102E-4</v>
      </c>
      <c r="F58">
        <f>$F$17*C58</f>
        <v>16257.655959946003</v>
      </c>
      <c r="L58">
        <v>15</v>
      </c>
      <c r="M58" t="s">
        <v>18</v>
      </c>
      <c r="N58" s="6">
        <v>3252</v>
      </c>
      <c r="O58" s="4">
        <f t="shared" si="4"/>
        <v>-1.0346926354230066E-2</v>
      </c>
      <c r="P58" s="11">
        <f>O58*$E$17</f>
        <v>-2.4441450030425921E-4</v>
      </c>
      <c r="Q58">
        <f>$F$17*N58</f>
        <v>14076.492600016476</v>
      </c>
    </row>
    <row r="59" spans="1:20" x14ac:dyDescent="0.3">
      <c r="E59" s="16">
        <f>SUM(E44:E58)</f>
        <v>-1.9597348310988111E-2</v>
      </c>
      <c r="F59">
        <f>SUM(F44:F58)</f>
        <v>684046.22045632952</v>
      </c>
      <c r="P59" s="16">
        <f>SUM(P44:P58)</f>
        <v>-1.2175717763124481E-2</v>
      </c>
      <c r="Q59">
        <f>SUM(Q44:Q58)</f>
        <v>692955.7112104058</v>
      </c>
    </row>
    <row r="62" spans="1:20" x14ac:dyDescent="0.3">
      <c r="B62" s="15">
        <v>46155</v>
      </c>
      <c r="E62" s="5"/>
      <c r="M62" s="15">
        <v>46185</v>
      </c>
      <c r="P62" s="5"/>
    </row>
    <row r="63" spans="1:20" ht="15.6" x14ac:dyDescent="0.3">
      <c r="A63" s="1" t="s">
        <v>1</v>
      </c>
      <c r="B63" s="1" t="s">
        <v>2</v>
      </c>
      <c r="C63" s="1" t="s">
        <v>68</v>
      </c>
      <c r="D63" s="1" t="s">
        <v>69</v>
      </c>
      <c r="E63" s="1" t="s">
        <v>70</v>
      </c>
      <c r="F63" s="1" t="s">
        <v>78</v>
      </c>
      <c r="H63" s="17" t="s">
        <v>76</v>
      </c>
      <c r="I63" s="17">
        <f>I44*E79</f>
        <v>2.9268684252293276</v>
      </c>
      <c r="L63" s="1" t="s">
        <v>1</v>
      </c>
      <c r="M63" s="1" t="s">
        <v>2</v>
      </c>
      <c r="N63" s="1" t="s">
        <v>68</v>
      </c>
      <c r="O63" s="1" t="s">
        <v>69</v>
      </c>
      <c r="P63" s="1" t="s">
        <v>70</v>
      </c>
      <c r="Q63" s="1" t="s">
        <v>78</v>
      </c>
      <c r="S63" s="17" t="s">
        <v>76</v>
      </c>
      <c r="T63" s="17">
        <f>T44*P79</f>
        <v>17.036293175877887</v>
      </c>
    </row>
    <row r="64" spans="1:20" ht="15.6" x14ac:dyDescent="0.3">
      <c r="A64">
        <v>1</v>
      </c>
      <c r="B64" t="s">
        <v>6</v>
      </c>
      <c r="C64" s="6">
        <v>1445.59997558593</v>
      </c>
      <c r="D64" s="4">
        <f>(C64-C44)/C44</f>
        <v>-5.0929280206951158E-3</v>
      </c>
      <c r="E64" s="11">
        <f>D64*$E$3</f>
        <v>-1.0685303499712335E-3</v>
      </c>
      <c r="F64">
        <f>$F$3*C64</f>
        <v>147129.59696275019</v>
      </c>
      <c r="H64" s="17" t="s">
        <v>77</v>
      </c>
      <c r="I64" s="17">
        <f>I63+I44</f>
        <v>1028.1219965348073</v>
      </c>
      <c r="L64">
        <v>1</v>
      </c>
      <c r="M64" t="s">
        <v>6</v>
      </c>
      <c r="N64" s="6">
        <v>1535.5</v>
      </c>
      <c r="O64" s="4">
        <f>(N64-N44)/N44</f>
        <v>2.4486222295345479E-2</v>
      </c>
      <c r="P64" s="11">
        <f>O64*$E$3</f>
        <v>5.1373731520257876E-3</v>
      </c>
      <c r="Q64">
        <f>$F$3*N64</f>
        <v>156279.39952387876</v>
      </c>
      <c r="S64" s="17" t="s">
        <v>77</v>
      </c>
      <c r="T64" s="17">
        <f>T44+T63</f>
        <v>1055.6904598366091</v>
      </c>
    </row>
    <row r="65" spans="1:17" x14ac:dyDescent="0.3">
      <c r="A65">
        <v>2</v>
      </c>
      <c r="B65" t="s">
        <v>7</v>
      </c>
      <c r="C65" s="6">
        <v>15787</v>
      </c>
      <c r="D65" s="4">
        <f>(C65-C45)/C45</f>
        <v>1.2961180622393327E-2</v>
      </c>
      <c r="E65" s="11">
        <f>D65*$E$4</f>
        <v>2.7133653109417191E-3</v>
      </c>
      <c r="F65">
        <f>$F$4*C65</f>
        <v>142856.65400608847</v>
      </c>
      <c r="L65">
        <v>2</v>
      </c>
      <c r="M65" t="s">
        <v>7</v>
      </c>
      <c r="N65" s="6">
        <v>17143</v>
      </c>
      <c r="O65" s="4">
        <f t="shared" ref="O65:O78" si="6">(N65-N45)/N45</f>
        <v>1.1667930692491686E-4</v>
      </c>
      <c r="P65" s="11">
        <f>O65*$E$4</f>
        <v>2.4426292105505064E-5</v>
      </c>
      <c r="Q65">
        <f>$F$4*N65</f>
        <v>155127.105822916</v>
      </c>
    </row>
    <row r="66" spans="1:17" x14ac:dyDescent="0.3">
      <c r="A66">
        <v>3</v>
      </c>
      <c r="B66" t="s">
        <v>9</v>
      </c>
      <c r="C66" s="6">
        <v>7374.5</v>
      </c>
      <c r="D66" s="4">
        <f t="shared" ref="D66:D78" si="7">(C66-C46)/C46</f>
        <v>-1.07981220657277E-2</v>
      </c>
      <c r="E66" s="11">
        <f>D66*$E$5</f>
        <v>-1.0100669916148547E-3</v>
      </c>
      <c r="F66">
        <f>$F$5*C66</f>
        <v>62889.736000000004</v>
      </c>
      <c r="L66">
        <v>3</v>
      </c>
      <c r="M66" t="s">
        <v>9</v>
      </c>
      <c r="N66" s="6">
        <v>6916</v>
      </c>
      <c r="O66" s="4">
        <f t="shared" si="6"/>
        <v>2.9779630732578916E-2</v>
      </c>
      <c r="P66" s="11">
        <f>O66*$E$5</f>
        <v>2.7856160397488677E-3</v>
      </c>
      <c r="Q66">
        <f>$F$5*N66</f>
        <v>58979.648000000001</v>
      </c>
    </row>
    <row r="67" spans="1:17" x14ac:dyDescent="0.3">
      <c r="A67">
        <v>4</v>
      </c>
      <c r="B67" t="s">
        <v>10</v>
      </c>
      <c r="C67" s="6">
        <v>3683.89990234375</v>
      </c>
      <c r="D67" s="4">
        <f t="shared" si="7"/>
        <v>1.0699882313619135E-2</v>
      </c>
      <c r="E67" s="11">
        <f>D67*$E$6</f>
        <v>6.3440477661388505E-4</v>
      </c>
      <c r="F67">
        <f>$F$6*C67</f>
        <v>40467.6404272461</v>
      </c>
      <c r="L67">
        <v>4</v>
      </c>
      <c r="M67" t="s">
        <v>10</v>
      </c>
      <c r="N67" s="6">
        <v>3655.30004882812</v>
      </c>
      <c r="O67" s="4">
        <f t="shared" si="6"/>
        <v>-6.8468825354924606E-3</v>
      </c>
      <c r="P67" s="11">
        <f>O67*$E$6</f>
        <v>-4.0595726738992431E-4</v>
      </c>
      <c r="Q67">
        <f>$F$6*N67</f>
        <v>40153.471036376905</v>
      </c>
    </row>
    <row r="68" spans="1:17" x14ac:dyDescent="0.3">
      <c r="A68">
        <v>5</v>
      </c>
      <c r="B68" t="s">
        <v>14</v>
      </c>
      <c r="C68" s="6">
        <v>768.09997558593705</v>
      </c>
      <c r="D68" s="4">
        <f t="shared" si="7"/>
        <v>-2.7913332217630051E-3</v>
      </c>
      <c r="E68" s="11">
        <f>D68*$E$7</f>
        <v>-8.6205511990183924E-5</v>
      </c>
      <c r="F68">
        <f>$F$7*C68</f>
        <v>19568.111180252421</v>
      </c>
      <c r="L68">
        <v>5</v>
      </c>
      <c r="M68" t="s">
        <v>14</v>
      </c>
      <c r="N68" s="6">
        <v>745.95001220703102</v>
      </c>
      <c r="O68" s="4">
        <f t="shared" si="6"/>
        <v>6.4085266078938432E-3</v>
      </c>
      <c r="P68" s="11">
        <f>O68*$E$7</f>
        <v>1.9791629069182862E-4</v>
      </c>
      <c r="Q68">
        <f>$F$7*N68</f>
        <v>19003.818822729154</v>
      </c>
    </row>
    <row r="69" spans="1:17" x14ac:dyDescent="0.3">
      <c r="A69">
        <v>6</v>
      </c>
      <c r="B69" t="s">
        <v>19</v>
      </c>
      <c r="C69" s="6">
        <v>1146.90002441406</v>
      </c>
      <c r="D69" s="4">
        <f t="shared" si="7"/>
        <v>-7.6143697582464615E-3</v>
      </c>
      <c r="E69" s="11">
        <f>D69*$E$8</f>
        <v>-1.7739336157397958E-4</v>
      </c>
      <c r="F69">
        <f>$F$8*C69</f>
        <v>15217.096537443987</v>
      </c>
      <c r="L69">
        <v>6</v>
      </c>
      <c r="M69" t="s">
        <v>19</v>
      </c>
      <c r="N69" s="6">
        <v>1142.90002441406</v>
      </c>
      <c r="O69" s="4">
        <f t="shared" si="6"/>
        <v>1.2491118866072067E-2</v>
      </c>
      <c r="P69" s="11">
        <f>O69*$E$8</f>
        <v>2.9100787534948574E-4</v>
      </c>
      <c r="Q69">
        <f>$F$8*N69</f>
        <v>15164.024443229959</v>
      </c>
    </row>
    <row r="70" spans="1:17" x14ac:dyDescent="0.3">
      <c r="A70">
        <v>7</v>
      </c>
      <c r="B70" t="s">
        <v>20</v>
      </c>
      <c r="C70" s="6">
        <v>1375</v>
      </c>
      <c r="D70" s="4">
        <f t="shared" si="7"/>
        <v>1.1401250459727841E-2</v>
      </c>
      <c r="E70" s="11">
        <f>D70*$E$9</f>
        <v>2.613710612133188E-4</v>
      </c>
      <c r="F70">
        <f>$F$9*C70</f>
        <v>15654.146822443818</v>
      </c>
      <c r="L70">
        <v>7</v>
      </c>
      <c r="M70" t="s">
        <v>20</v>
      </c>
      <c r="N70" s="6">
        <v>1250.30004882812</v>
      </c>
      <c r="O70" s="4">
        <f t="shared" si="6"/>
        <v>-6.1207878949761547E-3</v>
      </c>
      <c r="P70" s="11">
        <f>O70*$E$9</f>
        <v>-1.4031766368280819E-4</v>
      </c>
      <c r="Q70">
        <f>$F$9*N70</f>
        <v>14234.458571973866</v>
      </c>
    </row>
    <row r="71" spans="1:17" x14ac:dyDescent="0.3">
      <c r="A71">
        <v>8</v>
      </c>
      <c r="B71" t="s">
        <v>8</v>
      </c>
      <c r="C71" s="6">
        <v>2695.19995117187</v>
      </c>
      <c r="D71" s="4">
        <f t="shared" si="7"/>
        <v>-9.5546084325053883E-3</v>
      </c>
      <c r="E71" s="11">
        <f>D71*$E$10</f>
        <v>-1.0688834653373848E-3</v>
      </c>
      <c r="F71">
        <f>$F$10*C71</f>
        <v>79892.421212820991</v>
      </c>
      <c r="L71">
        <v>8</v>
      </c>
      <c r="M71" t="s">
        <v>8</v>
      </c>
      <c r="N71" s="6">
        <v>2743</v>
      </c>
      <c r="O71" s="4">
        <f t="shared" si="6"/>
        <v>3.1823691229323034E-2</v>
      </c>
      <c r="P71" s="11">
        <f>O71*$E$10</f>
        <v>3.5601477131497884E-3</v>
      </c>
      <c r="Q71">
        <f>$F$10*N71</f>
        <v>81309.333391566746</v>
      </c>
    </row>
    <row r="72" spans="1:17" x14ac:dyDescent="0.3">
      <c r="A72">
        <v>9</v>
      </c>
      <c r="B72" t="s">
        <v>11</v>
      </c>
      <c r="C72" s="6">
        <v>6910.5</v>
      </c>
      <c r="D72" s="4">
        <f t="shared" si="7"/>
        <v>-5.7549816559959712E-3</v>
      </c>
      <c r="E72" s="11">
        <f>D72*$E$11</f>
        <v>-3.0148468286820141E-4</v>
      </c>
      <c r="F72" s="18">
        <f>$F$11*C72</f>
        <v>35419.225223574256</v>
      </c>
      <c r="L72">
        <v>9</v>
      </c>
      <c r="M72" t="s">
        <v>11</v>
      </c>
      <c r="N72" s="6">
        <v>7303</v>
      </c>
      <c r="O72" s="4">
        <f t="shared" si="6"/>
        <v>2.1627231236120571E-2</v>
      </c>
      <c r="P72" s="11">
        <f>O72*$E$11</f>
        <v>1.1329799711430452E-3</v>
      </c>
      <c r="Q72" s="18">
        <f>$F$11*N72</f>
        <v>37430.953159360797</v>
      </c>
    </row>
    <row r="73" spans="1:17" x14ac:dyDescent="0.3">
      <c r="A73">
        <v>10</v>
      </c>
      <c r="B73" t="s">
        <v>12</v>
      </c>
      <c r="C73" s="6">
        <v>617.86187744140602</v>
      </c>
      <c r="D73" s="4">
        <f t="shared" si="7"/>
        <v>1.8101051093983161E-2</v>
      </c>
      <c r="E73" s="11">
        <f>D73*$E$12</f>
        <v>8.3170531290424035E-4</v>
      </c>
      <c r="F73">
        <f>$F$12*C73</f>
        <v>31173.706353207905</v>
      </c>
      <c r="L73">
        <v>10</v>
      </c>
      <c r="M73" t="s">
        <v>12</v>
      </c>
      <c r="N73" s="6">
        <v>680.5</v>
      </c>
      <c r="O73" s="4">
        <f t="shared" si="6"/>
        <v>6.6173401236652315E-4</v>
      </c>
      <c r="P73" s="11">
        <f>O73*$E$12</f>
        <v>3.0405289226415215E-5</v>
      </c>
      <c r="Q73">
        <f>$F$12*N73</f>
        <v>34334.060649938299</v>
      </c>
    </row>
    <row r="74" spans="1:17" x14ac:dyDescent="0.3">
      <c r="A74">
        <v>11</v>
      </c>
      <c r="B74" t="s">
        <v>13</v>
      </c>
      <c r="C74" s="6">
        <v>1856.40002441406</v>
      </c>
      <c r="D74" s="4">
        <f t="shared" si="7"/>
        <v>4.3823921289596023E-3</v>
      </c>
      <c r="E74" s="11">
        <f>D74*$E$13</f>
        <v>1.5556861515329468E-4</v>
      </c>
      <c r="F74">
        <f>$F$13*C74</f>
        <v>25320.007359302068</v>
      </c>
      <c r="L74">
        <v>11</v>
      </c>
      <c r="M74" t="s">
        <v>13</v>
      </c>
      <c r="N74" s="6">
        <v>1669.90002441406</v>
      </c>
      <c r="O74" s="4">
        <f t="shared" si="6"/>
        <v>3.566112573143583E-2</v>
      </c>
      <c r="P74" s="11">
        <f>O74*$E$13</f>
        <v>1.2659186539211071E-3</v>
      </c>
      <c r="Q74">
        <f>$F$13*N74</f>
        <v>22776.276853803767</v>
      </c>
    </row>
    <row r="75" spans="1:17" x14ac:dyDescent="0.3">
      <c r="A75">
        <v>12</v>
      </c>
      <c r="B75" t="s">
        <v>15</v>
      </c>
      <c r="C75" s="6">
        <v>6988</v>
      </c>
      <c r="D75" s="4">
        <f t="shared" si="7"/>
        <v>1.9922644676348245E-2</v>
      </c>
      <c r="E75" s="11">
        <f>D75*$E$14</f>
        <v>5.9921072804406999E-4</v>
      </c>
      <c r="F75">
        <f>$F$14*C75</f>
        <v>20573.902011001097</v>
      </c>
      <c r="L75">
        <v>12</v>
      </c>
      <c r="M75" t="s">
        <v>15</v>
      </c>
      <c r="N75" s="6">
        <v>6517.5</v>
      </c>
      <c r="O75" s="4">
        <f t="shared" si="6"/>
        <v>3.2325098129762178E-3</v>
      </c>
      <c r="P75" s="11">
        <f>O75*$E$14</f>
        <v>9.7223766719214377E-5</v>
      </c>
      <c r="Q75">
        <f>$F$14*N75</f>
        <v>19188.66719471947</v>
      </c>
    </row>
    <row r="76" spans="1:17" x14ac:dyDescent="0.3">
      <c r="A76">
        <v>13</v>
      </c>
      <c r="B76" t="s">
        <v>16</v>
      </c>
      <c r="C76" s="6">
        <v>468.54998779296801</v>
      </c>
      <c r="D76" s="4">
        <f t="shared" si="7"/>
        <v>1.0669753034794244E-4</v>
      </c>
      <c r="E76" s="11">
        <f>D76*$E$15</f>
        <v>2.9420854276592834E-6</v>
      </c>
      <c r="F76">
        <f>$F$15*C76</f>
        <v>16989.364047034924</v>
      </c>
      <c r="L76">
        <v>13</v>
      </c>
      <c r="M76" t="s">
        <v>16</v>
      </c>
      <c r="N76" s="6">
        <v>440.600006103515</v>
      </c>
      <c r="O76" s="4">
        <f t="shared" si="6"/>
        <v>2.9800163183625702E-2</v>
      </c>
      <c r="P76" s="11">
        <f>O76*$E$15</f>
        <v>8.2171185742074273E-4</v>
      </c>
      <c r="Q76">
        <f>$F$15*N76</f>
        <v>15975.913131654912</v>
      </c>
    </row>
    <row r="77" spans="1:17" x14ac:dyDescent="0.3">
      <c r="A77">
        <v>14</v>
      </c>
      <c r="B77" t="s">
        <v>17</v>
      </c>
      <c r="C77" s="6">
        <v>1268.5</v>
      </c>
      <c r="D77" s="4">
        <f t="shared" si="7"/>
        <v>2.9710183343285821E-2</v>
      </c>
      <c r="E77" s="11">
        <f>D77*$E$16</f>
        <v>7.1107405485888839E-4</v>
      </c>
      <c r="F77">
        <f>$F$16*C77</f>
        <v>16013.2672910492</v>
      </c>
      <c r="L77">
        <v>14</v>
      </c>
      <c r="M77" t="s">
        <v>17</v>
      </c>
      <c r="N77" s="6">
        <v>1554.59997558593</v>
      </c>
      <c r="O77" s="4">
        <f t="shared" si="6"/>
        <v>3.5295685176952134E-2</v>
      </c>
      <c r="P77" s="11">
        <f>O77*$E$16</f>
        <v>8.4475567477337551E-4</v>
      </c>
      <c r="Q77">
        <f>$F$16*N77</f>
        <v>19624.930973367016</v>
      </c>
    </row>
    <row r="78" spans="1:17" x14ac:dyDescent="0.3">
      <c r="A78">
        <v>15</v>
      </c>
      <c r="B78" t="s">
        <v>18</v>
      </c>
      <c r="C78" s="6">
        <v>3860.5</v>
      </c>
      <c r="D78" s="4">
        <f t="shared" si="7"/>
        <v>2.7849543485165201E-2</v>
      </c>
      <c r="E78" s="11">
        <f>D78*$E$17</f>
        <v>6.578603173149674E-4</v>
      </c>
      <c r="F78">
        <f>$F$17*C78</f>
        <v>16710.424256569375</v>
      </c>
      <c r="L78">
        <v>15</v>
      </c>
      <c r="M78" t="s">
        <v>18</v>
      </c>
      <c r="N78" s="6">
        <v>3356.5</v>
      </c>
      <c r="O78" s="4">
        <f t="shared" si="6"/>
        <v>3.2134071340713409E-2</v>
      </c>
      <c r="P78" s="11">
        <f>O78*$E$17</f>
        <v>7.590691883363963E-4</v>
      </c>
      <c r="Q78">
        <f>$F$17*N78</f>
        <v>14528.827617452431</v>
      </c>
    </row>
    <row r="79" spans="1:17" x14ac:dyDescent="0.3">
      <c r="E79" s="16">
        <f>SUM(E64:E78)</f>
        <v>2.8549378991162052E-3</v>
      </c>
      <c r="F79">
        <f>SUM(F64:F78)</f>
        <v>685875.29969078477</v>
      </c>
      <c r="P79" s="16">
        <f>SUM(P64:P78)</f>
        <v>1.6402276833538829E-2</v>
      </c>
      <c r="Q79">
        <f>SUM(Q64:Q78)</f>
        <v>704110.88919296814</v>
      </c>
    </row>
    <row r="82" spans="1:20" x14ac:dyDescent="0.3">
      <c r="B82" s="15">
        <v>46157</v>
      </c>
      <c r="E82" s="5"/>
      <c r="M82" s="15">
        <v>46188</v>
      </c>
      <c r="P82" s="5"/>
    </row>
    <row r="83" spans="1:20" ht="15.6" x14ac:dyDescent="0.3">
      <c r="A83" s="1" t="s">
        <v>1</v>
      </c>
      <c r="B83" s="1" t="s">
        <v>2</v>
      </c>
      <c r="C83" s="1" t="s">
        <v>68</v>
      </c>
      <c r="D83" s="1" t="s">
        <v>69</v>
      </c>
      <c r="E83" s="1" t="s">
        <v>70</v>
      </c>
      <c r="F83" s="1" t="s">
        <v>78</v>
      </c>
      <c r="H83" s="17" t="s">
        <v>76</v>
      </c>
      <c r="I83" s="17">
        <f>I64*E99</f>
        <v>22.228713001758468</v>
      </c>
      <c r="L83" s="1" t="s">
        <v>1</v>
      </c>
      <c r="M83" s="1" t="s">
        <v>2</v>
      </c>
      <c r="N83" s="1" t="s">
        <v>68</v>
      </c>
      <c r="O83" s="1" t="s">
        <v>69</v>
      </c>
      <c r="P83" s="1" t="s">
        <v>70</v>
      </c>
      <c r="Q83" s="1" t="s">
        <v>78</v>
      </c>
      <c r="S83" s="17" t="s">
        <v>76</v>
      </c>
      <c r="T83" s="17">
        <f>T64*P99</f>
        <v>9.7346847852405904</v>
      </c>
    </row>
    <row r="84" spans="1:20" ht="15.6" x14ac:dyDescent="0.3">
      <c r="A84">
        <v>1</v>
      </c>
      <c r="B84" t="s">
        <v>6</v>
      </c>
      <c r="C84" s="6">
        <v>1467.69995117187</v>
      </c>
      <c r="D84" s="4">
        <f>(C84-C64)/C64</f>
        <v>1.5287753153829743E-2</v>
      </c>
      <c r="E84" s="11">
        <f>D84*$E$3</f>
        <v>3.207472825328868E-3</v>
      </c>
      <c r="F84">
        <f>$F$3*C84</f>
        <v>149378.87792273916</v>
      </c>
      <c r="H84" s="17" t="s">
        <v>77</v>
      </c>
      <c r="I84" s="17">
        <f>I83+I64</f>
        <v>1050.3507095365658</v>
      </c>
      <c r="L84">
        <v>1</v>
      </c>
      <c r="M84" t="s">
        <v>6</v>
      </c>
      <c r="N84" s="6">
        <v>1571</v>
      </c>
      <c r="O84" s="4">
        <f>(N84-N64)/N64</f>
        <v>2.3119505047215889E-2</v>
      </c>
      <c r="P84" s="11">
        <f>O84*$E$3</f>
        <v>4.850626735520119E-3</v>
      </c>
      <c r="Q84">
        <f>$F$3*N84</f>
        <v>159892.50188994693</v>
      </c>
      <c r="S84" s="17" t="s">
        <v>77</v>
      </c>
      <c r="T84" s="17">
        <f>T64+T83</f>
        <v>1065.4251446218498</v>
      </c>
    </row>
    <row r="85" spans="1:20" x14ac:dyDescent="0.3">
      <c r="A85">
        <v>2</v>
      </c>
      <c r="B85" t="s">
        <v>7</v>
      </c>
      <c r="C85" s="6">
        <v>17314</v>
      </c>
      <c r="D85" s="4">
        <f>(C85-C65)/C65</f>
        <v>9.6725153607398487E-2</v>
      </c>
      <c r="E85" s="11">
        <f>D85*$E$4</f>
        <v>2.0248979174040855E-2</v>
      </c>
      <c r="F85">
        <f>$F$4*C85</f>
        <v>156674.48580866636</v>
      </c>
      <c r="L85">
        <v>2</v>
      </c>
      <c r="M85" t="s">
        <v>7</v>
      </c>
      <c r="N85" s="6">
        <v>17277</v>
      </c>
      <c r="O85" s="4">
        <f t="shared" ref="O85:O98" si="8">(N85-N65)/N65</f>
        <v>7.8166015283205968E-3</v>
      </c>
      <c r="P85" s="11">
        <f>O85*$E$4</f>
        <v>1.6363706404766362E-3</v>
      </c>
      <c r="Q85">
        <f>$F$4*N85</f>
        <v>156339.67259537533</v>
      </c>
    </row>
    <row r="86" spans="1:20" x14ac:dyDescent="0.3">
      <c r="A86">
        <v>3</v>
      </c>
      <c r="B86" t="s">
        <v>9</v>
      </c>
      <c r="C86" s="6">
        <v>7352</v>
      </c>
      <c r="D86" s="4">
        <f t="shared" ref="D86:D98" si="9">(C86-C66)/C66</f>
        <v>-3.0510543087666959E-3</v>
      </c>
      <c r="E86" s="11">
        <f>D86*$E$5</f>
        <v>-2.8539863025727261E-4</v>
      </c>
      <c r="F86">
        <f>$F$5*C86</f>
        <v>62697.856000000007</v>
      </c>
      <c r="L86">
        <v>3</v>
      </c>
      <c r="M86" t="s">
        <v>9</v>
      </c>
      <c r="N86" s="6">
        <v>6940</v>
      </c>
      <c r="O86" s="4">
        <f t="shared" si="8"/>
        <v>3.470213996529786E-3</v>
      </c>
      <c r="P86" s="11">
        <f>O86*$E$5</f>
        <v>3.2460724099976976E-4</v>
      </c>
      <c r="Q86">
        <f>$F$5*N86</f>
        <v>59184.32</v>
      </c>
    </row>
    <row r="87" spans="1:20" x14ac:dyDescent="0.3">
      <c r="A87">
        <v>4</v>
      </c>
      <c r="B87" t="s">
        <v>10</v>
      </c>
      <c r="C87" s="6">
        <v>3713.5</v>
      </c>
      <c r="D87" s="4">
        <f t="shared" si="9"/>
        <v>8.0349896688066882E-3</v>
      </c>
      <c r="E87" s="11">
        <f>D87*$E$6</f>
        <v>4.7640111138848789E-4</v>
      </c>
      <c r="F87">
        <f>$F$6*C87</f>
        <v>40792.797500000008</v>
      </c>
      <c r="L87">
        <v>4</v>
      </c>
      <c r="M87" t="s">
        <v>10</v>
      </c>
      <c r="N87" s="6">
        <v>3685.10009765625</v>
      </c>
      <c r="O87" s="4">
        <f t="shared" si="8"/>
        <v>8.1525588679604629E-3</v>
      </c>
      <c r="P87" s="11">
        <f>O87*$E$6</f>
        <v>4.8337188539699153E-4</v>
      </c>
      <c r="Q87">
        <f>$F$6*N87</f>
        <v>40480.824572753911</v>
      </c>
    </row>
    <row r="88" spans="1:20" x14ac:dyDescent="0.3">
      <c r="A88">
        <v>5</v>
      </c>
      <c r="B88" t="s">
        <v>14</v>
      </c>
      <c r="C88" s="6">
        <v>748.90002441406205</v>
      </c>
      <c r="D88" s="4">
        <f t="shared" si="9"/>
        <v>-2.4996682439976017E-2</v>
      </c>
      <c r="E88" s="11">
        <f>D88*$E$7</f>
        <v>-7.7197942223220797E-4</v>
      </c>
      <c r="F88">
        <f>$F$7*C88</f>
        <v>19078.973319129509</v>
      </c>
      <c r="L88">
        <v>5</v>
      </c>
      <c r="M88" t="s">
        <v>14</v>
      </c>
      <c r="N88" s="6">
        <v>735.09997558593705</v>
      </c>
      <c r="O88" s="4">
        <f t="shared" si="8"/>
        <v>-1.4545259660217899E-2</v>
      </c>
      <c r="P88" s="11">
        <f>O88*$E$7</f>
        <v>-4.4920525656456792E-4</v>
      </c>
      <c r="Q88">
        <f>$F$7*N88</f>
        <v>18727.403343416823</v>
      </c>
    </row>
    <row r="89" spans="1:20" x14ac:dyDescent="0.3">
      <c r="A89">
        <v>6</v>
      </c>
      <c r="B89" t="s">
        <v>19</v>
      </c>
      <c r="C89" s="6">
        <v>1111.5</v>
      </c>
      <c r="D89" s="4">
        <f t="shared" si="9"/>
        <v>-3.0865832819338829E-2</v>
      </c>
      <c r="E89" s="11">
        <f>D89*$E$8</f>
        <v>-7.1908693896471942E-4</v>
      </c>
      <c r="F89">
        <f>$F$8*C89</f>
        <v>14747.408179723501</v>
      </c>
      <c r="L89">
        <v>6</v>
      </c>
      <c r="M89" t="s">
        <v>19</v>
      </c>
      <c r="N89" s="6">
        <v>1149.59997558593</v>
      </c>
      <c r="O89" s="4">
        <f t="shared" si="8"/>
        <v>5.8622373162560016E-3</v>
      </c>
      <c r="P89" s="11">
        <f>O89*$E$8</f>
        <v>1.3657361237925537E-4</v>
      </c>
      <c r="Q89">
        <f>$F$8*N89</f>
        <v>15252.919553185679</v>
      </c>
    </row>
    <row r="90" spans="1:20" x14ac:dyDescent="0.3">
      <c r="A90">
        <v>7</v>
      </c>
      <c r="B90" t="s">
        <v>20</v>
      </c>
      <c r="C90" s="6">
        <v>1376</v>
      </c>
      <c r="D90" s="4">
        <f t="shared" si="9"/>
        <v>7.2727272727272723E-4</v>
      </c>
      <c r="E90" s="11">
        <f>D90*$E$9</f>
        <v>1.6672561066017921E-5</v>
      </c>
      <c r="F90">
        <f>$F$9*C90</f>
        <v>15665.531656496505</v>
      </c>
      <c r="L90">
        <v>7</v>
      </c>
      <c r="M90" t="s">
        <v>20</v>
      </c>
      <c r="N90" s="6">
        <v>1269.5</v>
      </c>
      <c r="O90" s="4">
        <f t="shared" si="8"/>
        <v>1.5356274831689972E-2</v>
      </c>
      <c r="P90" s="11">
        <f>O90*$E$9</f>
        <v>3.5203909108211956E-4</v>
      </c>
      <c r="Q90">
        <f>$F$9*N90</f>
        <v>14453.046829885401</v>
      </c>
    </row>
    <row r="91" spans="1:20" x14ac:dyDescent="0.3">
      <c r="A91">
        <v>8</v>
      </c>
      <c r="B91" t="s">
        <v>8</v>
      </c>
      <c r="C91" s="6">
        <v>2689.5</v>
      </c>
      <c r="D91" s="4">
        <f t="shared" si="9"/>
        <v>-2.1148528031813244E-3</v>
      </c>
      <c r="E91" s="11">
        <f>D91*$E$10</f>
        <v>-2.3659066814841565E-4</v>
      </c>
      <c r="F91">
        <f>$F$10*C91</f>
        <v>79723.46050186611</v>
      </c>
      <c r="L91">
        <v>8</v>
      </c>
      <c r="M91" t="s">
        <v>8</v>
      </c>
      <c r="N91" s="6">
        <v>2720.5</v>
      </c>
      <c r="O91" s="4">
        <f t="shared" si="8"/>
        <v>-8.2026977761574926E-3</v>
      </c>
      <c r="P91" s="11">
        <f>O91*$E$10</f>
        <v>-9.1764388734823601E-4</v>
      </c>
      <c r="Q91">
        <f>$F$10*N91</f>
        <v>80642.377503374883</v>
      </c>
    </row>
    <row r="92" spans="1:20" x14ac:dyDescent="0.3">
      <c r="A92">
        <v>9</v>
      </c>
      <c r="B92" t="s">
        <v>11</v>
      </c>
      <c r="C92" s="6">
        <v>7001</v>
      </c>
      <c r="D92" s="4">
        <f t="shared" si="9"/>
        <v>1.3096013313074308E-2</v>
      </c>
      <c r="E92" s="11">
        <f>D92*$E$11</f>
        <v>6.8605734240983574E-4</v>
      </c>
      <c r="F92" s="18">
        <f>$F$11*C92</f>
        <v>35883.075868640968</v>
      </c>
      <c r="L92">
        <v>9</v>
      </c>
      <c r="M92" t="s">
        <v>11</v>
      </c>
      <c r="N92" s="6">
        <v>7287</v>
      </c>
      <c r="O92" s="4">
        <f t="shared" si="8"/>
        <v>-2.1908804600848965E-3</v>
      </c>
      <c r="P92" s="11">
        <f>O92*$E$11</f>
        <v>-1.1477306795976635E-4</v>
      </c>
      <c r="Q92" s="18">
        <f>$F$11*N92</f>
        <v>37348.946415481601</v>
      </c>
    </row>
    <row r="93" spans="1:20" x14ac:dyDescent="0.3">
      <c r="A93">
        <v>10</v>
      </c>
      <c r="B93" t="s">
        <v>12</v>
      </c>
      <c r="C93" s="6">
        <v>595.192626953125</v>
      </c>
      <c r="D93" s="4">
        <f t="shared" si="9"/>
        <v>-3.6689835246277717E-2</v>
      </c>
      <c r="E93" s="11">
        <f>D93*$E$12</f>
        <v>-1.6858209363352246E-3</v>
      </c>
      <c r="F93">
        <f>$F$12*C93</f>
        <v>30029.948203092867</v>
      </c>
      <c r="L93">
        <v>10</v>
      </c>
      <c r="M93" t="s">
        <v>12</v>
      </c>
      <c r="N93" s="6">
        <v>668.90002441406205</v>
      </c>
      <c r="O93" s="4">
        <f t="shared" si="8"/>
        <v>-1.7046253616367312E-2</v>
      </c>
      <c r="P93" s="11">
        <f>O93*$E$12</f>
        <v>-7.8323958228914336E-4</v>
      </c>
      <c r="Q93">
        <f>$F$12*N93</f>
        <v>33748.793544419714</v>
      </c>
    </row>
    <row r="94" spans="1:20" x14ac:dyDescent="0.3">
      <c r="A94">
        <v>11</v>
      </c>
      <c r="B94" t="s">
        <v>13</v>
      </c>
      <c r="C94" s="6">
        <v>1826.40002441406</v>
      </c>
      <c r="D94" s="4">
        <f t="shared" si="9"/>
        <v>-1.6160310065428368E-2</v>
      </c>
      <c r="E94" s="11">
        <f>D94*$E$13</f>
        <v>-5.736677557248586E-4</v>
      </c>
      <c r="F94">
        <f>$F$13*C94</f>
        <v>24910.828189516818</v>
      </c>
      <c r="L94">
        <v>11</v>
      </c>
      <c r="M94" t="s">
        <v>13</v>
      </c>
      <c r="N94" s="6">
        <v>1666.69995117187</v>
      </c>
      <c r="O94" s="4">
        <f t="shared" si="8"/>
        <v>-1.9163262443288205E-3</v>
      </c>
      <c r="P94" s="11">
        <f>O94*$E$13</f>
        <v>-6.8026824446429382E-5</v>
      </c>
      <c r="Q94">
        <f>$F$13*N94</f>
        <v>22732.630076720725</v>
      </c>
    </row>
    <row r="95" spans="1:20" x14ac:dyDescent="0.3">
      <c r="A95">
        <v>12</v>
      </c>
      <c r="B95" t="s">
        <v>15</v>
      </c>
      <c r="C95" s="6">
        <v>7100</v>
      </c>
      <c r="D95" s="4">
        <f t="shared" si="9"/>
        <v>1.602747567258157E-2</v>
      </c>
      <c r="E95" s="11">
        <f>D95*$E$14</f>
        <v>4.8205624918250435E-4</v>
      </c>
      <c r="F95">
        <f>$F$14*C95</f>
        <v>20903.649724972493</v>
      </c>
      <c r="L95">
        <v>12</v>
      </c>
      <c r="M95" t="s">
        <v>15</v>
      </c>
      <c r="N95" s="6">
        <v>6569</v>
      </c>
      <c r="O95" s="4">
        <f t="shared" si="8"/>
        <v>7.9018028385116987E-3</v>
      </c>
      <c r="P95" s="11">
        <f>O95*$E$14</f>
        <v>2.3766147058509781E-4</v>
      </c>
      <c r="Q95">
        <f>$F$14*N95</f>
        <v>19340.29225962596</v>
      </c>
    </row>
    <row r="96" spans="1:20" x14ac:dyDescent="0.3">
      <c r="A96">
        <v>13</v>
      </c>
      <c r="B96" t="s">
        <v>16</v>
      </c>
      <c r="C96" s="6">
        <v>466.25</v>
      </c>
      <c r="D96" s="4">
        <f t="shared" si="9"/>
        <v>-4.9087351464925794E-3</v>
      </c>
      <c r="E96" s="11">
        <f>D96*$E$15</f>
        <v>-1.353538183652371E-4</v>
      </c>
      <c r="F96">
        <f>$F$15*C96</f>
        <v>16905.967758620685</v>
      </c>
      <c r="L96">
        <v>13</v>
      </c>
      <c r="M96" t="s">
        <v>16</v>
      </c>
      <c r="N96" s="6">
        <v>498.14999389648398</v>
      </c>
      <c r="O96" s="4">
        <f t="shared" si="8"/>
        <v>0.13061731047604236</v>
      </c>
      <c r="P96" s="11">
        <f>O96*$E$15</f>
        <v>3.601651176915203E-3</v>
      </c>
      <c r="Q96">
        <f>$F$15*N96</f>
        <v>18062.643937310564</v>
      </c>
    </row>
    <row r="97" spans="1:20" x14ac:dyDescent="0.3">
      <c r="A97">
        <v>14</v>
      </c>
      <c r="B97" t="s">
        <v>17</v>
      </c>
      <c r="C97" s="6">
        <v>1318.5</v>
      </c>
      <c r="D97" s="4">
        <f t="shared" si="9"/>
        <v>3.9416633819471816E-2</v>
      </c>
      <c r="E97" s="11">
        <f>D97*$E$16</f>
        <v>9.4338514559297987E-4</v>
      </c>
      <c r="F97">
        <f>$F$16*C97</f>
        <v>16644.456384113812</v>
      </c>
      <c r="L97">
        <v>14</v>
      </c>
      <c r="M97" t="s">
        <v>17</v>
      </c>
      <c r="N97" s="6">
        <v>1508.30004882812</v>
      </c>
      <c r="O97" s="4">
        <f t="shared" si="8"/>
        <v>-2.9782534082672629E-2</v>
      </c>
      <c r="P97" s="11">
        <f>O97*$E$16</f>
        <v>-7.1280567438588281E-4</v>
      </c>
      <c r="Q97">
        <f>$F$16*N97</f>
        <v>19040.450797782614</v>
      </c>
    </row>
    <row r="98" spans="1:20" x14ac:dyDescent="0.3">
      <c r="A98">
        <v>15</v>
      </c>
      <c r="B98" t="s">
        <v>18</v>
      </c>
      <c r="C98" s="6">
        <v>3855.19995117187</v>
      </c>
      <c r="D98" s="4">
        <f t="shared" si="9"/>
        <v>-1.3728918088667277E-3</v>
      </c>
      <c r="E98" s="11">
        <f>D98*$E$17</f>
        <v>-3.24303714889001E-5</v>
      </c>
      <c r="F98">
        <f>$F$17*C98</f>
        <v>16687.482651984843</v>
      </c>
      <c r="L98">
        <v>15</v>
      </c>
      <c r="M98" t="s">
        <v>18</v>
      </c>
      <c r="N98" s="6">
        <v>3448</v>
      </c>
      <c r="O98" s="4">
        <f t="shared" si="8"/>
        <v>2.7260539252197229E-2</v>
      </c>
      <c r="P98" s="11">
        <f>O98*$E$17</f>
        <v>6.4394689313957386E-4</v>
      </c>
      <c r="Q98">
        <f>$F$17*N98</f>
        <v>14924.8912930064</v>
      </c>
    </row>
    <row r="99" spans="1:20" x14ac:dyDescent="0.3">
      <c r="E99" s="16">
        <f>SUM(E84:E98)</f>
        <v>2.1620695867492715E-2</v>
      </c>
      <c r="F99">
        <f>SUM(F84:F98)</f>
        <v>700724.79966956377</v>
      </c>
      <c r="P99" s="16">
        <f>SUM(P84:P98)</f>
        <v>9.2211544535007392E-3</v>
      </c>
      <c r="Q99">
        <f>SUM(Q84:Q98)</f>
        <v>710171.71461228654</v>
      </c>
    </row>
    <row r="102" spans="1:20" x14ac:dyDescent="0.3">
      <c r="B102" s="15">
        <v>46160</v>
      </c>
      <c r="E102" s="5"/>
      <c r="M102" s="15">
        <v>46189</v>
      </c>
      <c r="P102" s="5"/>
    </row>
    <row r="103" spans="1:20" ht="15.6" x14ac:dyDescent="0.3">
      <c r="A103" s="1" t="s">
        <v>1</v>
      </c>
      <c r="B103" s="1" t="s">
        <v>2</v>
      </c>
      <c r="C103" s="1" t="s">
        <v>68</v>
      </c>
      <c r="D103" s="1" t="s">
        <v>69</v>
      </c>
      <c r="E103" s="1" t="s">
        <v>70</v>
      </c>
      <c r="F103" s="1" t="s">
        <v>78</v>
      </c>
      <c r="H103" s="17" t="s">
        <v>76</v>
      </c>
      <c r="I103" s="17">
        <f>I84*E119</f>
        <v>-7.165585756857805</v>
      </c>
      <c r="L103" s="1" t="s">
        <v>1</v>
      </c>
      <c r="M103" s="1" t="s">
        <v>2</v>
      </c>
      <c r="N103" s="1" t="s">
        <v>68</v>
      </c>
      <c r="O103" s="1" t="s">
        <v>69</v>
      </c>
      <c r="P103" s="1" t="s">
        <v>70</v>
      </c>
      <c r="Q103" s="1" t="s">
        <v>78</v>
      </c>
      <c r="S103" s="17" t="s">
        <v>76</v>
      </c>
      <c r="T103" s="17">
        <f>T84*P119</f>
        <v>-1.4452013682145282</v>
      </c>
    </row>
    <row r="104" spans="1:20" ht="15.6" x14ac:dyDescent="0.3">
      <c r="A104">
        <v>1</v>
      </c>
      <c r="B104" t="s">
        <v>6</v>
      </c>
      <c r="C104" s="6">
        <v>1450.19995117187</v>
      </c>
      <c r="D104" s="4">
        <f>(C104-C84)/C84</f>
        <v>-1.192341798882483E-2</v>
      </c>
      <c r="E104" s="11">
        <f>D104*$E$3</f>
        <v>-2.5016128138236251E-3</v>
      </c>
      <c r="F104">
        <f>$F$3*C104</f>
        <v>147597.77112256471</v>
      </c>
      <c r="H104" s="17" t="s">
        <v>77</v>
      </c>
      <c r="I104" s="17">
        <f>I103+I84</f>
        <v>1043.185123779708</v>
      </c>
      <c r="L104">
        <v>1</v>
      </c>
      <c r="M104" t="s">
        <v>6</v>
      </c>
      <c r="N104" s="6">
        <v>1571.19995117187</v>
      </c>
      <c r="O104" s="4">
        <f>(N104-N84)/N84</f>
        <v>1.2727636656269749E-4</v>
      </c>
      <c r="P104" s="11">
        <f>O104*$E$3</f>
        <v>2.6703432672457868E-5</v>
      </c>
      <c r="Q104">
        <f>$F$3*N104</f>
        <v>159912.85242662812</v>
      </c>
      <c r="S104" s="17" t="s">
        <v>77</v>
      </c>
      <c r="T104" s="17">
        <f>T84+T103</f>
        <v>1063.9799432536352</v>
      </c>
    </row>
    <row r="105" spans="1:20" x14ac:dyDescent="0.3">
      <c r="A105">
        <v>2</v>
      </c>
      <c r="B105" t="s">
        <v>7</v>
      </c>
      <c r="C105" s="6">
        <v>18019</v>
      </c>
      <c r="D105" s="4">
        <f>(C105-C85)/C85</f>
        <v>4.0718493704516578E-2</v>
      </c>
      <c r="E105" s="11">
        <f>D105*$E$4</f>
        <v>8.5242349096461226E-3</v>
      </c>
      <c r="F105">
        <f>$F$4*C105</f>
        <v>163054.03487272491</v>
      </c>
      <c r="L105">
        <v>2</v>
      </c>
      <c r="M105" t="s">
        <v>7</v>
      </c>
      <c r="N105" s="6">
        <v>16899</v>
      </c>
      <c r="O105" s="4">
        <f t="shared" ref="O105:O118" si="10">(N105-N85)/N85</f>
        <v>-2.1878798402500434E-2</v>
      </c>
      <c r="P105" s="11">
        <f>O105*$E$4</f>
        <v>-4.5802287893330655E-3</v>
      </c>
      <c r="Q105">
        <f>$F$4*N105</f>
        <v>152919.14841634821</v>
      </c>
    </row>
    <row r="106" spans="1:20" x14ac:dyDescent="0.3">
      <c r="A106">
        <v>3</v>
      </c>
      <c r="B106" t="s">
        <v>9</v>
      </c>
      <c r="C106" s="6">
        <v>7221</v>
      </c>
      <c r="D106" s="4">
        <f t="shared" ref="D106:D118" si="11">(C106-C86)/C86</f>
        <v>-1.7818280739934713E-2</v>
      </c>
      <c r="E106" s="11">
        <f>D106*$E$5</f>
        <v>-1.6667395601923933E-3</v>
      </c>
      <c r="F106">
        <f>$F$5*C106</f>
        <v>61580.688000000002</v>
      </c>
      <c r="L106">
        <v>3</v>
      </c>
      <c r="M106" t="s">
        <v>9</v>
      </c>
      <c r="N106" s="6">
        <v>6991.5</v>
      </c>
      <c r="O106" s="4">
        <f t="shared" si="10"/>
        <v>7.420749279538905E-3</v>
      </c>
      <c r="P106" s="11">
        <f>O106*$E$5</f>
        <v>6.9414420902889039E-4</v>
      </c>
      <c r="Q106">
        <f>$F$5*N106</f>
        <v>59623.512000000002</v>
      </c>
    </row>
    <row r="107" spans="1:20" x14ac:dyDescent="0.3">
      <c r="A107">
        <v>4</v>
      </c>
      <c r="B107" t="s">
        <v>10</v>
      </c>
      <c r="C107" s="6">
        <v>3694.5</v>
      </c>
      <c r="D107" s="4">
        <f t="shared" si="11"/>
        <v>-5.1164669449306581E-3</v>
      </c>
      <c r="E107" s="11">
        <f>D107*$E$6</f>
        <v>-3.0335951126486379E-4</v>
      </c>
      <c r="F107">
        <f>$F$6*C107</f>
        <v>40584.082500000004</v>
      </c>
      <c r="L107">
        <v>4</v>
      </c>
      <c r="M107" t="s">
        <v>10</v>
      </c>
      <c r="N107" s="6">
        <v>3671.69995117187</v>
      </c>
      <c r="O107" s="4">
        <f t="shared" si="10"/>
        <v>-3.6363046129744459E-3</v>
      </c>
      <c r="P107" s="11">
        <f>O107*$E$6</f>
        <v>-2.1559947559028893E-4</v>
      </c>
      <c r="Q107">
        <f>$F$6*N107</f>
        <v>40333.623963622995</v>
      </c>
    </row>
    <row r="108" spans="1:20" x14ac:dyDescent="0.3">
      <c r="A108">
        <v>5</v>
      </c>
      <c r="B108" t="s">
        <v>14</v>
      </c>
      <c r="C108" s="6">
        <v>730.34997558593705</v>
      </c>
      <c r="D108" s="4">
        <f t="shared" si="11"/>
        <v>-2.4769726563486926E-2</v>
      </c>
      <c r="E108" s="11">
        <f>D108*$E$7</f>
        <v>-7.6497028144622691E-4</v>
      </c>
      <c r="F108">
        <f>$F$7*C108</f>
        <v>18606.392366902608</v>
      </c>
      <c r="L108">
        <v>5</v>
      </c>
      <c r="M108" t="s">
        <v>14</v>
      </c>
      <c r="N108" s="6">
        <v>729.45001220703102</v>
      </c>
      <c r="O108" s="4">
        <f t="shared" si="10"/>
        <v>-7.6859795491117005E-3</v>
      </c>
      <c r="P108" s="11">
        <f>O108*$E$7</f>
        <v>-2.3736822139736356E-4</v>
      </c>
      <c r="Q108">
        <f>$F$7*N108</f>
        <v>18583.464904311357</v>
      </c>
    </row>
    <row r="109" spans="1:20" x14ac:dyDescent="0.3">
      <c r="A109">
        <v>6</v>
      </c>
      <c r="B109" t="s">
        <v>19</v>
      </c>
      <c r="C109" s="6">
        <v>1114.90002441406</v>
      </c>
      <c r="D109" s="4">
        <f t="shared" si="11"/>
        <v>3.0589513396851093E-3</v>
      </c>
      <c r="E109" s="11">
        <f>D109*$E$8</f>
        <v>7.1264947496184594E-5</v>
      </c>
      <c r="F109">
        <f>$F$8*C109</f>
        <v>14792.51978373175</v>
      </c>
      <c r="L109">
        <v>6</v>
      </c>
      <c r="M109" t="s">
        <v>19</v>
      </c>
      <c r="N109" s="6">
        <v>1177.69995117187</v>
      </c>
      <c r="O109" s="4">
        <f t="shared" si="10"/>
        <v>2.4443263902835383E-2</v>
      </c>
      <c r="P109" s="11">
        <f>O109*$E$8</f>
        <v>5.6945917905652755E-4</v>
      </c>
      <c r="Q109">
        <f>$F$8*N109</f>
        <v>15625.750691112915</v>
      </c>
    </row>
    <row r="110" spans="1:20" x14ac:dyDescent="0.3">
      <c r="A110">
        <v>7</v>
      </c>
      <c r="B110" t="s">
        <v>20</v>
      </c>
      <c r="C110" s="6">
        <v>1361.09997558593</v>
      </c>
      <c r="D110" s="4">
        <f t="shared" si="11"/>
        <v>-1.0828506114876455E-2</v>
      </c>
      <c r="E110" s="11">
        <f>D110*$E$9</f>
        <v>-2.4824102799928601E-4</v>
      </c>
      <c r="F110">
        <f>$F$9*C110</f>
        <v>15495.897351161342</v>
      </c>
      <c r="L110">
        <v>7</v>
      </c>
      <c r="M110" t="s">
        <v>20</v>
      </c>
      <c r="N110" s="6">
        <v>1261.40002441406</v>
      </c>
      <c r="O110" s="4">
        <f t="shared" si="10"/>
        <v>-6.3804455186608914E-3</v>
      </c>
      <c r="P110" s="11">
        <f>O110*$E$9</f>
        <v>-1.4627025536512688E-4</v>
      </c>
      <c r="Q110">
        <f>$F$9*N110</f>
        <v>14360.829952008664</v>
      </c>
    </row>
    <row r="111" spans="1:20" x14ac:dyDescent="0.3">
      <c r="A111">
        <v>8</v>
      </c>
      <c r="B111" t="s">
        <v>8</v>
      </c>
      <c r="C111" s="6">
        <v>2639.89990234375</v>
      </c>
      <c r="D111" s="4">
        <f t="shared" si="11"/>
        <v>-1.8442125917921548E-2</v>
      </c>
      <c r="E111" s="11">
        <f>D111*$E$10</f>
        <v>-2.0631388087316328E-3</v>
      </c>
      <c r="F111">
        <f>$F$10*C111</f>
        <v>78253.190404678258</v>
      </c>
      <c r="L111">
        <v>8</v>
      </c>
      <c r="M111" t="s">
        <v>8</v>
      </c>
      <c r="N111" s="6">
        <v>2744</v>
      </c>
      <c r="O111" s="4">
        <f t="shared" si="10"/>
        <v>8.6381179930159896E-3</v>
      </c>
      <c r="P111" s="11">
        <f>O111*$E$10</f>
        <v>9.6635477629375259E-4</v>
      </c>
      <c r="Q111">
        <f>$F$10*N111</f>
        <v>81338.975875486372</v>
      </c>
    </row>
    <row r="112" spans="1:20" x14ac:dyDescent="0.3">
      <c r="A112">
        <v>9</v>
      </c>
      <c r="B112" t="s">
        <v>11</v>
      </c>
      <c r="C112" s="6">
        <v>6904.5</v>
      </c>
      <c r="D112" s="4">
        <f t="shared" si="11"/>
        <v>-1.3783745179260105E-2</v>
      </c>
      <c r="E112" s="11">
        <f>D112*$E$11</f>
        <v>-7.2208536751385292E-4</v>
      </c>
      <c r="F112" s="18">
        <f>$F$11*C112</f>
        <v>35388.472694619559</v>
      </c>
      <c r="L112">
        <v>9</v>
      </c>
      <c r="M112" t="s">
        <v>11</v>
      </c>
      <c r="N112" s="6">
        <v>7315.5</v>
      </c>
      <c r="O112" s="4">
        <f t="shared" si="10"/>
        <v>3.9110745162618359E-3</v>
      </c>
      <c r="P112" s="11">
        <f>O112*$E$11</f>
        <v>2.0488841332458443E-4</v>
      </c>
      <c r="Q112" s="18">
        <f>$F$11*N112</f>
        <v>37495.02092801642</v>
      </c>
    </row>
    <row r="113" spans="1:20" x14ac:dyDescent="0.3">
      <c r="A113">
        <v>10</v>
      </c>
      <c r="B113" t="s">
        <v>12</v>
      </c>
      <c r="C113" s="6">
        <v>550.75286865234295</v>
      </c>
      <c r="D113" s="4">
        <f t="shared" si="11"/>
        <v>-7.4664497321271325E-2</v>
      </c>
      <c r="E113" s="11">
        <f>D113*$E$12</f>
        <v>-3.4306769692544325E-3</v>
      </c>
      <c r="F113">
        <f>$F$12*C113</f>
        <v>27787.777215925122</v>
      </c>
      <c r="L113">
        <v>10</v>
      </c>
      <c r="M113" t="s">
        <v>12</v>
      </c>
      <c r="N113" s="6">
        <v>689.20001220703102</v>
      </c>
      <c r="O113" s="4">
        <f t="shared" si="10"/>
        <v>3.0348313727079329E-2</v>
      </c>
      <c r="P113" s="11">
        <f>O113*$E$12</f>
        <v>1.3944413301438994E-3</v>
      </c>
      <c r="Q113">
        <f>$F$12*N113</f>
        <v>34773.012518816191</v>
      </c>
    </row>
    <row r="114" spans="1:20" x14ac:dyDescent="0.3">
      <c r="A114">
        <v>11</v>
      </c>
      <c r="B114" t="s">
        <v>13</v>
      </c>
      <c r="C114" s="6">
        <v>1748.5</v>
      </c>
      <c r="D114" s="4">
        <f t="shared" si="11"/>
        <v>-4.2652224798919197E-2</v>
      </c>
      <c r="E114" s="11">
        <f>D114*$E$13</f>
        <v>-1.5140926119612511E-3</v>
      </c>
      <c r="F114">
        <f>$F$13*C114</f>
        <v>23848.325945650296</v>
      </c>
      <c r="L114">
        <v>11</v>
      </c>
      <c r="M114" t="s">
        <v>13</v>
      </c>
      <c r="N114" s="6">
        <v>1641.30004882812</v>
      </c>
      <c r="O114" s="4">
        <f t="shared" si="10"/>
        <v>-1.5239637059982589E-2</v>
      </c>
      <c r="P114" s="11">
        <f>O114*$E$13</f>
        <v>-5.4098518870404188E-4</v>
      </c>
      <c r="Q114">
        <f>$F$13*N114</f>
        <v>22386.193044932657</v>
      </c>
    </row>
    <row r="115" spans="1:20" x14ac:dyDescent="0.3">
      <c r="A115">
        <v>12</v>
      </c>
      <c r="B115" t="s">
        <v>15</v>
      </c>
      <c r="C115" s="6">
        <v>6882.5</v>
      </c>
      <c r="D115" s="4">
        <f t="shared" si="11"/>
        <v>-3.0633802816901409E-2</v>
      </c>
      <c r="E115" s="11">
        <f>D115*$E$14</f>
        <v>-9.213688035336978E-4</v>
      </c>
      <c r="F115">
        <f>$F$14*C115</f>
        <v>20263.291441144112</v>
      </c>
      <c r="L115">
        <v>12</v>
      </c>
      <c r="M115" t="s">
        <v>15</v>
      </c>
      <c r="N115" s="6">
        <v>6584</v>
      </c>
      <c r="O115" s="4">
        <f t="shared" si="10"/>
        <v>2.2834525803014159E-3</v>
      </c>
      <c r="P115" s="11">
        <f>O115*$E$14</f>
        <v>6.8679098850811852E-5</v>
      </c>
      <c r="Q115">
        <f>$F$14*N115</f>
        <v>19384.454899889985</v>
      </c>
    </row>
    <row r="116" spans="1:20" x14ac:dyDescent="0.3">
      <c r="A116">
        <v>13</v>
      </c>
      <c r="B116" t="s">
        <v>16</v>
      </c>
      <c r="C116" s="6">
        <v>461.20001220703102</v>
      </c>
      <c r="D116" s="4">
        <f t="shared" si="11"/>
        <v>-1.0831073014410676E-2</v>
      </c>
      <c r="E116" s="11">
        <f>D116*$E$15</f>
        <v>-2.9865679156486547E-4</v>
      </c>
      <c r="F116">
        <f>$F$15*C116</f>
        <v>16722.857987447795</v>
      </c>
      <c r="L116">
        <v>13</v>
      </c>
      <c r="M116" t="s">
        <v>16</v>
      </c>
      <c r="N116" s="6">
        <v>496.70001220703102</v>
      </c>
      <c r="O116" s="4">
        <f t="shared" si="10"/>
        <v>-2.9107331270072485E-3</v>
      </c>
      <c r="P116" s="11">
        <f>O116*$E$15</f>
        <v>-8.0260766006926652E-5</v>
      </c>
      <c r="Q116">
        <f>$F$15*N116</f>
        <v>18010.068401240896</v>
      </c>
    </row>
    <row r="117" spans="1:20" x14ac:dyDescent="0.3">
      <c r="A117">
        <v>14</v>
      </c>
      <c r="B117" t="s">
        <v>17</v>
      </c>
      <c r="C117" s="6">
        <v>1272.40002441406</v>
      </c>
      <c r="D117" s="4">
        <f t="shared" si="11"/>
        <v>-3.4963955696579445E-2</v>
      </c>
      <c r="E117" s="11">
        <f>D117*$E$16</f>
        <v>-8.3681616716417236E-4</v>
      </c>
      <c r="F117">
        <f>$F$16*C117</f>
        <v>16062.500348506008</v>
      </c>
      <c r="L117">
        <v>14</v>
      </c>
      <c r="M117" t="s">
        <v>17</v>
      </c>
      <c r="N117" s="6">
        <v>1535</v>
      </c>
      <c r="O117" s="4">
        <f t="shared" si="10"/>
        <v>1.7702015718042734E-2</v>
      </c>
      <c r="P117" s="11">
        <f>O117*$E$16</f>
        <v>4.236743997962924E-4</v>
      </c>
      <c r="Q117">
        <f>$F$16*N117</f>
        <v>19377.505157083582</v>
      </c>
    </row>
    <row r="118" spans="1:20" x14ac:dyDescent="0.3">
      <c r="A118">
        <v>15</v>
      </c>
      <c r="B118" t="s">
        <v>18</v>
      </c>
      <c r="C118" s="6">
        <v>3831.39990234375</v>
      </c>
      <c r="D118" s="4">
        <f t="shared" si="11"/>
        <v>-6.173492718810983E-3</v>
      </c>
      <c r="E118" s="11">
        <f>D118*$E$17</f>
        <v>-1.4582989057260458E-4</v>
      </c>
      <c r="F118">
        <f>$F$17*C118</f>
        <v>16584.46259933753</v>
      </c>
      <c r="L118">
        <v>15</v>
      </c>
      <c r="M118" t="s">
        <v>18</v>
      </c>
      <c r="N118" s="6">
        <v>3462</v>
      </c>
      <c r="O118" s="4">
        <f t="shared" si="10"/>
        <v>4.0603248259860787E-3</v>
      </c>
      <c r="P118" s="11">
        <f>O118*$E$17</f>
        <v>9.591275992900522E-5</v>
      </c>
      <c r="Q118">
        <f>$F$17*N118</f>
        <v>14985.491199648537</v>
      </c>
    </row>
    <row r="119" spans="1:20" x14ac:dyDescent="0.3">
      <c r="E119" s="16">
        <f>SUM(E104:E118)</f>
        <v>-6.8220887478805956E-3</v>
      </c>
      <c r="F119">
        <f>SUM(F104:F118)</f>
        <v>696622.26463439409</v>
      </c>
      <c r="P119" s="16">
        <f>SUM(P104:P118)</f>
        <v>-1.3564550973005917E-3</v>
      </c>
      <c r="Q119">
        <f>SUM(Q104:Q118)</f>
        <v>709109.90437914687</v>
      </c>
    </row>
    <row r="122" spans="1:20" x14ac:dyDescent="0.3">
      <c r="B122" s="15">
        <v>46161</v>
      </c>
      <c r="E122" s="5"/>
      <c r="M122" s="15">
        <v>46190</v>
      </c>
      <c r="P122" s="5"/>
    </row>
    <row r="123" spans="1:20" ht="15.6" x14ac:dyDescent="0.3">
      <c r="A123" s="1" t="s">
        <v>1</v>
      </c>
      <c r="B123" s="1" t="s">
        <v>2</v>
      </c>
      <c r="C123" s="1" t="s">
        <v>68</v>
      </c>
      <c r="D123" s="1" t="s">
        <v>69</v>
      </c>
      <c r="E123" s="1" t="s">
        <v>70</v>
      </c>
      <c r="F123" s="1" t="s">
        <v>78</v>
      </c>
      <c r="H123" s="17" t="s">
        <v>76</v>
      </c>
      <c r="I123" s="17">
        <f>I104*E139</f>
        <v>10.54419414223212</v>
      </c>
      <c r="L123" s="1" t="s">
        <v>1</v>
      </c>
      <c r="M123" s="1" t="s">
        <v>2</v>
      </c>
      <c r="N123" s="1" t="s">
        <v>68</v>
      </c>
      <c r="O123" s="1" t="s">
        <v>69</v>
      </c>
      <c r="P123" s="1" t="s">
        <v>70</v>
      </c>
      <c r="Q123" s="1" t="s">
        <v>78</v>
      </c>
      <c r="S123" s="17" t="s">
        <v>76</v>
      </c>
      <c r="T123" s="17">
        <f>T104*P139</f>
        <v>7.2897207860943789</v>
      </c>
    </row>
    <row r="124" spans="1:20" ht="15.6" x14ac:dyDescent="0.3">
      <c r="A124">
        <v>1</v>
      </c>
      <c r="B124" t="s">
        <v>6</v>
      </c>
      <c r="C124" s="6">
        <v>1455.80004882812</v>
      </c>
      <c r="D124" s="4">
        <f>(C124-C104)/C104</f>
        <v>3.861603809684797E-3</v>
      </c>
      <c r="E124" s="11">
        <f>D124*$E$3</f>
        <v>8.1019029788871198E-4</v>
      </c>
      <c r="F124">
        <f>$F$3*C124</f>
        <v>148167.73523783259</v>
      </c>
      <c r="H124" s="17" t="s">
        <v>77</v>
      </c>
      <c r="I124" s="17">
        <f>I123+I104</f>
        <v>1053.72931792194</v>
      </c>
      <c r="L124">
        <v>1</v>
      </c>
      <c r="M124" t="s">
        <v>6</v>
      </c>
      <c r="N124" s="6">
        <v>1578.19995117187</v>
      </c>
      <c r="O124" s="4">
        <f>(N124-N104)/N104</f>
        <v>4.4551936211422944E-3</v>
      </c>
      <c r="P124" s="11">
        <f>O124*$E$3</f>
        <v>9.3472940906379372E-4</v>
      </c>
      <c r="Q124">
        <f>$F$3*N124</f>
        <v>160625.2951466979</v>
      </c>
      <c r="S124" s="17" t="s">
        <v>77</v>
      </c>
      <c r="T124" s="17">
        <f>T104+T123</f>
        <v>1071.2696640397296</v>
      </c>
    </row>
    <row r="125" spans="1:20" x14ac:dyDescent="0.3">
      <c r="A125">
        <v>2</v>
      </c>
      <c r="B125" t="s">
        <v>7</v>
      </c>
      <c r="C125" s="6">
        <v>18116</v>
      </c>
      <c r="D125" s="4">
        <f>(C125-C105)/C105</f>
        <v>5.3832066152394694E-3</v>
      </c>
      <c r="E125" s="11">
        <f>D125*$E$4</f>
        <v>1.1269502769050681E-3</v>
      </c>
      <c r="F125">
        <f>$F$4*C125</f>
        <v>163931.78843189325</v>
      </c>
      <c r="L125">
        <v>2</v>
      </c>
      <c r="M125" t="s">
        <v>7</v>
      </c>
      <c r="N125" s="6">
        <v>17457</v>
      </c>
      <c r="O125" s="4">
        <f t="shared" ref="O125:O138" si="12">(N125-N105)/N105</f>
        <v>3.3019705308006388E-2</v>
      </c>
      <c r="P125" s="11">
        <f>O125*$E$4</f>
        <v>6.9125279224539309E-3</v>
      </c>
      <c r="Q125">
        <f>$F$4*N125</f>
        <v>157968.49363300731</v>
      </c>
    </row>
    <row r="126" spans="1:20" x14ac:dyDescent="0.3">
      <c r="A126">
        <v>3</v>
      </c>
      <c r="B126" t="s">
        <v>9</v>
      </c>
      <c r="C126" s="6">
        <v>7377.5</v>
      </c>
      <c r="D126" s="4">
        <f t="shared" ref="D126:D138" si="13">(C126-C106)/C106</f>
        <v>2.1672898490513778E-2</v>
      </c>
      <c r="E126" s="11">
        <f>D126*$E$5</f>
        <v>2.0273043076043528E-3</v>
      </c>
      <c r="F126">
        <f>$F$5*C126</f>
        <v>62915.320000000007</v>
      </c>
      <c r="L126">
        <v>3</v>
      </c>
      <c r="M126" t="s">
        <v>9</v>
      </c>
      <c r="N126" s="6">
        <v>7029</v>
      </c>
      <c r="O126" s="4">
        <f t="shared" si="12"/>
        <v>5.3636558678395192E-3</v>
      </c>
      <c r="P126" s="11">
        <f>O126*$E$5</f>
        <v>5.0172166173979285E-4</v>
      </c>
      <c r="Q126">
        <f>$F$5*N126</f>
        <v>59943.312000000005</v>
      </c>
    </row>
    <row r="127" spans="1:20" x14ac:dyDescent="0.3">
      <c r="A127">
        <v>4</v>
      </c>
      <c r="B127" t="s">
        <v>10</v>
      </c>
      <c r="C127" s="6">
        <v>3748.10009765625</v>
      </c>
      <c r="D127" s="4">
        <f t="shared" si="13"/>
        <v>1.4508078943361754E-2</v>
      </c>
      <c r="E127" s="11">
        <f>D127*$E$6</f>
        <v>8.6019587051391205E-4</v>
      </c>
      <c r="F127">
        <f>$F$6*C127</f>
        <v>41172.879572753911</v>
      </c>
      <c r="L127">
        <v>4</v>
      </c>
      <c r="M127" t="s">
        <v>10</v>
      </c>
      <c r="N127" s="6">
        <v>3675.80004882812</v>
      </c>
      <c r="O127" s="4">
        <f t="shared" si="12"/>
        <v>1.1166755755576926E-3</v>
      </c>
      <c r="P127" s="11">
        <f>O127*$E$6</f>
        <v>6.6208608496577155E-5</v>
      </c>
      <c r="Q127">
        <f>$F$6*N127</f>
        <v>40378.663536376902</v>
      </c>
    </row>
    <row r="128" spans="1:20" x14ac:dyDescent="0.3">
      <c r="A128">
        <v>5</v>
      </c>
      <c r="B128" t="s">
        <v>14</v>
      </c>
      <c r="C128" s="6">
        <v>736.20001220703102</v>
      </c>
      <c r="D128" s="4">
        <f t="shared" si="13"/>
        <v>8.0099086967185488E-3</v>
      </c>
      <c r="E128" s="11">
        <f>D128*$E$7</f>
        <v>2.4737221439980243E-4</v>
      </c>
      <c r="F128">
        <f>$F$7*C128</f>
        <v>18755.427870936819</v>
      </c>
      <c r="L128">
        <v>5</v>
      </c>
      <c r="M128" t="s">
        <v>14</v>
      </c>
      <c r="N128" s="6">
        <v>729</v>
      </c>
      <c r="O128" s="4">
        <f t="shared" si="12"/>
        <v>-6.1691987045069932E-4</v>
      </c>
      <c r="P128" s="11">
        <f>O128*$E$7</f>
        <v>-1.9052506119470325E-5</v>
      </c>
      <c r="Q128">
        <f>$F$7*N128</f>
        <v>18572.000395550062</v>
      </c>
    </row>
    <row r="129" spans="1:20" x14ac:dyDescent="0.3">
      <c r="A129">
        <v>6</v>
      </c>
      <c r="B129" t="s">
        <v>19</v>
      </c>
      <c r="C129" s="6">
        <v>1095.90002441406</v>
      </c>
      <c r="D129" s="4">
        <f t="shared" si="13"/>
        <v>-1.7041886791585213E-2</v>
      </c>
      <c r="E129" s="11">
        <f>D129*$E$8</f>
        <v>-3.9702794604220881E-4</v>
      </c>
      <c r="F129">
        <f>$F$8*C129</f>
        <v>14540.427336215109</v>
      </c>
      <c r="L129">
        <v>6</v>
      </c>
      <c r="M129" t="s">
        <v>19</v>
      </c>
      <c r="N129" s="6">
        <v>1179.30004882812</v>
      </c>
      <c r="O129" s="4">
        <f t="shared" si="12"/>
        <v>1.3586632610944947E-3</v>
      </c>
      <c r="P129" s="11">
        <f>O129*$E$8</f>
        <v>3.1653025895096895E-5</v>
      </c>
      <c r="Q129">
        <f>$F$8*N129</f>
        <v>15646.980824503951</v>
      </c>
    </row>
    <row r="130" spans="1:20" x14ac:dyDescent="0.3">
      <c r="A130">
        <v>7</v>
      </c>
      <c r="B130" t="s">
        <v>20</v>
      </c>
      <c r="C130" s="6">
        <v>1361.40002441406</v>
      </c>
      <c r="D130" s="4">
        <f t="shared" si="13"/>
        <v>2.2044584050546058E-4</v>
      </c>
      <c r="E130" s="11">
        <f>D130*$E$9</f>
        <v>5.0536705141682902E-6</v>
      </c>
      <c r="F130">
        <f>$F$9*C130</f>
        <v>15499.313357277304</v>
      </c>
      <c r="L130">
        <v>7</v>
      </c>
      <c r="M130" t="s">
        <v>20</v>
      </c>
      <c r="N130" s="6">
        <v>1294.5</v>
      </c>
      <c r="O130" s="4">
        <f t="shared" si="12"/>
        <v>2.6240665090612677E-2</v>
      </c>
      <c r="P130" s="11">
        <f>O130*$E$9</f>
        <v>6.0156125031222626E-4</v>
      </c>
      <c r="Q130">
        <f>$F$9*N130</f>
        <v>14737.667681202562</v>
      </c>
    </row>
    <row r="131" spans="1:20" x14ac:dyDescent="0.3">
      <c r="A131">
        <v>8</v>
      </c>
      <c r="B131" t="s">
        <v>8</v>
      </c>
      <c r="C131" s="6">
        <v>2637.19995117187</v>
      </c>
      <c r="D131" s="4">
        <f t="shared" si="13"/>
        <v>-1.0227475554974404E-3</v>
      </c>
      <c r="E131" s="11">
        <f>D131*$E$10</f>
        <v>-1.1441577737150526E-4</v>
      </c>
      <c r="F131">
        <f>$F$10*C131</f>
        <v>78173.157145481993</v>
      </c>
      <c r="L131">
        <v>8</v>
      </c>
      <c r="M131" t="s">
        <v>8</v>
      </c>
      <c r="N131" s="6">
        <v>2705.5</v>
      </c>
      <c r="O131" s="4">
        <f t="shared" si="12"/>
        <v>-1.4030612244897959E-2</v>
      </c>
      <c r="P131" s="11">
        <f>O131*$E$10</f>
        <v>-1.56961842477088E-3</v>
      </c>
      <c r="Q131">
        <f>$F$10*N131</f>
        <v>80197.740244580316</v>
      </c>
    </row>
    <row r="132" spans="1:20" x14ac:dyDescent="0.3">
      <c r="A132">
        <v>9</v>
      </c>
      <c r="B132" t="s">
        <v>11</v>
      </c>
      <c r="C132" s="6">
        <v>7075.5</v>
      </c>
      <c r="D132" s="4">
        <f t="shared" si="13"/>
        <v>2.4766456658700847E-2</v>
      </c>
      <c r="E132" s="11">
        <f>D132*$E$11</f>
        <v>1.2974337326928063E-3</v>
      </c>
      <c r="F132" s="18">
        <f>$F$11*C132</f>
        <v>36264.919769828477</v>
      </c>
      <c r="L132">
        <v>9</v>
      </c>
      <c r="M132" t="s">
        <v>11</v>
      </c>
      <c r="N132" s="6">
        <v>7344</v>
      </c>
      <c r="O132" s="4">
        <f t="shared" si="12"/>
        <v>3.8958376050850932E-3</v>
      </c>
      <c r="P132" s="11">
        <f>O132*$E$11</f>
        <v>2.0409020133910831E-4</v>
      </c>
      <c r="Q132" s="18">
        <f>$F$11*N132</f>
        <v>37641.095440551238</v>
      </c>
    </row>
    <row r="133" spans="1:20" x14ac:dyDescent="0.3">
      <c r="A133">
        <v>10</v>
      </c>
      <c r="B133" t="s">
        <v>12</v>
      </c>
      <c r="C133" s="6">
        <v>562.98626708984295</v>
      </c>
      <c r="D133" s="4">
        <f t="shared" si="13"/>
        <v>2.221213748270498E-2</v>
      </c>
      <c r="E133" s="11">
        <f>D133*$E$12</f>
        <v>1.0206011053946996E-3</v>
      </c>
      <c r="F133">
        <f>$F$12*C133</f>
        <v>28405.003143784026</v>
      </c>
      <c r="L133">
        <v>10</v>
      </c>
      <c r="M133" t="s">
        <v>12</v>
      </c>
      <c r="N133" s="6">
        <v>701.09997558593705</v>
      </c>
      <c r="O133" s="4">
        <f t="shared" si="12"/>
        <v>1.7266342379766753E-2</v>
      </c>
      <c r="P133" s="11">
        <f>O133*$E$12</f>
        <v>7.9335219911340533E-4</v>
      </c>
      <c r="Q133">
        <f>$F$12*N133</f>
        <v>35373.415258541987</v>
      </c>
    </row>
    <row r="134" spans="1:20" x14ac:dyDescent="0.3">
      <c r="A134">
        <v>11</v>
      </c>
      <c r="B134" t="s">
        <v>13</v>
      </c>
      <c r="C134" s="6">
        <v>1805.80004882812</v>
      </c>
      <c r="D134" s="4">
        <f t="shared" si="13"/>
        <v>3.2770974451312551E-2</v>
      </c>
      <c r="E134" s="11">
        <f>D134*$E$13</f>
        <v>1.1633224418520968E-3</v>
      </c>
      <c r="F134">
        <f>$F$13*C134</f>
        <v>24629.858825921776</v>
      </c>
      <c r="L134">
        <v>11</v>
      </c>
      <c r="M134" t="s">
        <v>13</v>
      </c>
      <c r="N134" s="6">
        <v>1615.30004882812</v>
      </c>
      <c r="O134" s="4">
        <f t="shared" si="12"/>
        <v>-1.5841101094564561E-2</v>
      </c>
      <c r="P134" s="11">
        <f>O134*$E$13</f>
        <v>-5.6233629653989971E-4</v>
      </c>
      <c r="Q134">
        <f>$F$13*N134</f>
        <v>22031.57109778544</v>
      </c>
    </row>
    <row r="135" spans="1:20" x14ac:dyDescent="0.3">
      <c r="A135">
        <v>12</v>
      </c>
      <c r="B135" t="s">
        <v>15</v>
      </c>
      <c r="C135" s="6">
        <v>7050</v>
      </c>
      <c r="D135" s="4">
        <f t="shared" si="13"/>
        <v>2.4337086814384307E-2</v>
      </c>
      <c r="E135" s="11">
        <f>D135*$E$14</f>
        <v>7.3198331574078851E-4</v>
      </c>
      <c r="F135">
        <f>$F$14*C135</f>
        <v>20756.440924092407</v>
      </c>
      <c r="L135">
        <v>12</v>
      </c>
      <c r="M135" t="s">
        <v>15</v>
      </c>
      <c r="N135" s="6">
        <v>6455</v>
      </c>
      <c r="O135" s="4">
        <f t="shared" si="12"/>
        <v>-1.9592952612393681E-2</v>
      </c>
      <c r="P135" s="11">
        <f>O135*$E$14</f>
        <v>-5.8929462378773606E-4</v>
      </c>
      <c r="Q135">
        <f>$F$14*N135</f>
        <v>19004.656193619358</v>
      </c>
    </row>
    <row r="136" spans="1:20" x14ac:dyDescent="0.3">
      <c r="A136">
        <v>13</v>
      </c>
      <c r="B136" t="s">
        <v>16</v>
      </c>
      <c r="C136" s="6">
        <v>469.25</v>
      </c>
      <c r="D136" s="4">
        <f t="shared" si="13"/>
        <v>1.7454439678885714E-2</v>
      </c>
      <c r="E136" s="11">
        <f>D136*$E$15</f>
        <v>4.8128998356144164E-4</v>
      </c>
      <c r="F136">
        <f>$F$15*C136</f>
        <v>17014.746103448273</v>
      </c>
      <c r="L136">
        <v>13</v>
      </c>
      <c r="M136" t="s">
        <v>16</v>
      </c>
      <c r="N136" s="6">
        <v>479.20001220703102</v>
      </c>
      <c r="O136" s="4">
        <f t="shared" si="12"/>
        <v>-3.5232533863328704E-2</v>
      </c>
      <c r="P136" s="11">
        <f>O136*$E$15</f>
        <v>-9.7150443989456911E-4</v>
      </c>
      <c r="Q136">
        <f>$F$15*N136</f>
        <v>17375.52805641331</v>
      </c>
    </row>
    <row r="137" spans="1:20" x14ac:dyDescent="0.3">
      <c r="A137">
        <v>14</v>
      </c>
      <c r="B137" t="s">
        <v>17</v>
      </c>
      <c r="C137" s="6">
        <v>1324.5</v>
      </c>
      <c r="D137" s="4">
        <f t="shared" si="13"/>
        <v>4.0946223346649206E-2</v>
      </c>
      <c r="E137" s="11">
        <f>D137*$E$16</f>
        <v>9.7999385361717691E-4</v>
      </c>
      <c r="F137">
        <f>$F$16*C137</f>
        <v>16720.199075281565</v>
      </c>
      <c r="L137">
        <v>14</v>
      </c>
      <c r="M137" t="s">
        <v>17</v>
      </c>
      <c r="N137" s="6">
        <v>1550.5</v>
      </c>
      <c r="O137" s="4">
        <f t="shared" si="12"/>
        <v>1.0097719869706841E-2</v>
      </c>
      <c r="P137" s="11">
        <f>O137*$E$16</f>
        <v>2.4167560763990585E-4</v>
      </c>
      <c r="Q137">
        <f>$F$16*N137</f>
        <v>19573.17377593361</v>
      </c>
    </row>
    <row r="138" spans="1:20" x14ac:dyDescent="0.3">
      <c r="A138">
        <v>15</v>
      </c>
      <c r="B138" t="s">
        <v>18</v>
      </c>
      <c r="C138" s="6">
        <v>3809.89990234375</v>
      </c>
      <c r="D138" s="4">
        <f t="shared" si="13"/>
        <v>-5.6115259560475493E-3</v>
      </c>
      <c r="E138" s="11">
        <f>D138*$E$17</f>
        <v>-1.3255514396611368E-4</v>
      </c>
      <c r="F138">
        <f>$F$17*C138</f>
        <v>16491.398456994248</v>
      </c>
      <c r="L138">
        <v>15</v>
      </c>
      <c r="M138" t="s">
        <v>18</v>
      </c>
      <c r="N138" s="6">
        <v>3502.39990234375</v>
      </c>
      <c r="O138" s="4">
        <f t="shared" si="12"/>
        <v>1.1669526962377238E-2</v>
      </c>
      <c r="P138" s="11">
        <f>O138*$E$17</f>
        <v>2.7565689593706883E-4</v>
      </c>
      <c r="Q138">
        <f>$F$17*N138</f>
        <v>15160.364793247301</v>
      </c>
    </row>
    <row r="139" spans="1:20" x14ac:dyDescent="0.3">
      <c r="E139" s="16">
        <f>SUM(E124:E138)</f>
        <v>1.0107692203305197E-2</v>
      </c>
      <c r="F139">
        <f>SUM(F124:F138)</f>
        <v>703438.61525174184</v>
      </c>
      <c r="P139" s="16">
        <f>SUM(P124:P138)</f>
        <v>6.8513704908783517E-3</v>
      </c>
      <c r="Q139">
        <f>SUM(Q124:Q138)</f>
        <v>714229.95807801117</v>
      </c>
    </row>
    <row r="142" spans="1:20" x14ac:dyDescent="0.3">
      <c r="B142" s="15">
        <v>46162</v>
      </c>
      <c r="E142" s="5"/>
      <c r="M142" s="15">
        <v>46191</v>
      </c>
      <c r="P142" s="5"/>
    </row>
    <row r="143" spans="1:20" ht="15.6" x14ac:dyDescent="0.3">
      <c r="A143" s="1" t="s">
        <v>1</v>
      </c>
      <c r="B143" s="1" t="s">
        <v>2</v>
      </c>
      <c r="C143" s="1" t="s">
        <v>68</v>
      </c>
      <c r="D143" s="1" t="s">
        <v>69</v>
      </c>
      <c r="E143" s="1" t="s">
        <v>70</v>
      </c>
      <c r="F143" s="1" t="s">
        <v>78</v>
      </c>
      <c r="H143" s="17" t="s">
        <v>76</v>
      </c>
      <c r="I143" s="17">
        <f>I124*E159</f>
        <v>-2.1605678002147979</v>
      </c>
      <c r="L143" s="1" t="s">
        <v>1</v>
      </c>
      <c r="M143" s="1" t="s">
        <v>2</v>
      </c>
      <c r="N143" s="1" t="s">
        <v>68</v>
      </c>
      <c r="O143" s="1" t="s">
        <v>69</v>
      </c>
      <c r="P143" s="1" t="s">
        <v>70</v>
      </c>
      <c r="Q143" s="1" t="s">
        <v>78</v>
      </c>
      <c r="S143" s="17" t="s">
        <v>76</v>
      </c>
      <c r="T143" s="17">
        <f>T124*P159</f>
        <v>10.023251997159004</v>
      </c>
    </row>
    <row r="144" spans="1:20" ht="15.6" x14ac:dyDescent="0.3">
      <c r="A144">
        <v>1</v>
      </c>
      <c r="B144" t="s">
        <v>6</v>
      </c>
      <c r="C144" s="6">
        <v>1455.59997558593</v>
      </c>
      <c r="D144" s="4">
        <f>(C144-C124)/C124</f>
        <v>-1.374318144521665E-4</v>
      </c>
      <c r="E144" s="11">
        <f>D144*$E$3</f>
        <v>-2.8834113538818879E-5</v>
      </c>
      <c r="F144">
        <f>$F$3*C144</f>
        <v>148147.37227713561</v>
      </c>
      <c r="H144" s="17" t="s">
        <v>77</v>
      </c>
      <c r="I144" s="17">
        <f>I143+I124</f>
        <v>1051.5687501217253</v>
      </c>
      <c r="L144">
        <v>1</v>
      </c>
      <c r="M144" t="s">
        <v>6</v>
      </c>
      <c r="N144" s="6">
        <v>1581.09997558593</v>
      </c>
      <c r="O144" s="4">
        <f>(N144-N124)/N124</f>
        <v>1.8375519603245627E-3</v>
      </c>
      <c r="P144" s="11">
        <f>O144*$E$3</f>
        <v>3.8553068711698433E-4</v>
      </c>
      <c r="Q144">
        <f>$F$3*N144</f>
        <v>160920.45247267242</v>
      </c>
      <c r="S144" s="17" t="s">
        <v>77</v>
      </c>
      <c r="T144" s="17">
        <f>T124+T143</f>
        <v>1081.2929160368885</v>
      </c>
    </row>
    <row r="145" spans="1:17" x14ac:dyDescent="0.3">
      <c r="A145">
        <v>2</v>
      </c>
      <c r="B145" t="s">
        <v>7</v>
      </c>
      <c r="C145" s="6">
        <v>18210</v>
      </c>
      <c r="D145" s="4">
        <f>(C145-C125)/C125</f>
        <v>5.1887833958931331E-3</v>
      </c>
      <c r="E145" s="11">
        <f>D145*$E$4</f>
        <v>1.0862486437448514E-3</v>
      </c>
      <c r="F145">
        <f>$F$4*C145</f>
        <v>164782.39497376772</v>
      </c>
      <c r="L145">
        <v>2</v>
      </c>
      <c r="M145" t="s">
        <v>7</v>
      </c>
      <c r="N145" s="6">
        <v>17764</v>
      </c>
      <c r="O145" s="4">
        <f t="shared" ref="O145:O158" si="14">(N145-N125)/N125</f>
        <v>1.7586068625766168E-2</v>
      </c>
      <c r="P145" s="11">
        <f>O145*$E$4</f>
        <v>3.6815649712150407E-3</v>
      </c>
      <c r="Q145">
        <f>$F$4*N145</f>
        <v>160746.53840274629</v>
      </c>
    </row>
    <row r="146" spans="1:17" x14ac:dyDescent="0.3">
      <c r="A146">
        <v>3</v>
      </c>
      <c r="B146" t="s">
        <v>9</v>
      </c>
      <c r="C146" s="6">
        <v>7256.5</v>
      </c>
      <c r="D146" s="4">
        <f t="shared" ref="D146:D158" si="15">(C146-C126)/C126</f>
        <v>-1.6401219925449E-2</v>
      </c>
      <c r="E146" s="11">
        <f>D146*$E$5</f>
        <v>-1.5341862935122745E-3</v>
      </c>
      <c r="F146">
        <f>$F$5*C146</f>
        <v>61883.432000000001</v>
      </c>
      <c r="L146">
        <v>3</v>
      </c>
      <c r="M146" t="s">
        <v>9</v>
      </c>
      <c r="N146" s="6">
        <v>7275.5</v>
      </c>
      <c r="O146" s="4">
        <f t="shared" si="14"/>
        <v>3.506899985773225E-2</v>
      </c>
      <c r="P146" s="11">
        <f>O146*$E$5</f>
        <v>3.2803888462853976E-3</v>
      </c>
      <c r="Q146">
        <f>$F$5*N146</f>
        <v>62045.464</v>
      </c>
    </row>
    <row r="147" spans="1:17" x14ac:dyDescent="0.3">
      <c r="A147">
        <v>4</v>
      </c>
      <c r="B147" t="s">
        <v>10</v>
      </c>
      <c r="C147" s="6">
        <v>3750.80004882812</v>
      </c>
      <c r="D147" s="4">
        <f t="shared" si="15"/>
        <v>7.2035193872178676E-4</v>
      </c>
      <c r="E147" s="11">
        <f>D147*$E$6</f>
        <v>4.2710255811552005E-5</v>
      </c>
      <c r="F147">
        <f>$F$6*C147</f>
        <v>41202.538536376902</v>
      </c>
      <c r="L147">
        <v>4</v>
      </c>
      <c r="M147" t="s">
        <v>10</v>
      </c>
      <c r="N147" s="6">
        <v>3837.5</v>
      </c>
      <c r="O147" s="4">
        <f t="shared" si="14"/>
        <v>4.3990409985285105E-2</v>
      </c>
      <c r="P147" s="11">
        <f>O147*$E$6</f>
        <v>2.6082273993187958E-3</v>
      </c>
      <c r="Q147">
        <f>$F$6*N147</f>
        <v>42154.937500000007</v>
      </c>
    </row>
    <row r="148" spans="1:17" x14ac:dyDescent="0.3">
      <c r="A148">
        <v>5</v>
      </c>
      <c r="B148" t="s">
        <v>14</v>
      </c>
      <c r="C148" s="6">
        <v>729.95001220703102</v>
      </c>
      <c r="D148" s="4">
        <f t="shared" si="15"/>
        <v>-8.4895407448626909E-3</v>
      </c>
      <c r="E148" s="11">
        <f>D148*$E$7</f>
        <v>-2.6218482292493278E-4</v>
      </c>
      <c r="F148">
        <f>$F$7*C148</f>
        <v>18596.202901839166</v>
      </c>
      <c r="L148">
        <v>5</v>
      </c>
      <c r="M148" t="s">
        <v>14</v>
      </c>
      <c r="N148" s="6">
        <v>732.65002441406205</v>
      </c>
      <c r="O148" s="4">
        <f t="shared" si="14"/>
        <v>5.0068922003594588E-3</v>
      </c>
      <c r="P148" s="11">
        <f>O148*$E$7</f>
        <v>1.546292295905229E-4</v>
      </c>
      <c r="Q148">
        <f>$F$7*N148</f>
        <v>18664.988399475613</v>
      </c>
    </row>
    <row r="149" spans="1:17" x14ac:dyDescent="0.3">
      <c r="A149">
        <v>6</v>
      </c>
      <c r="B149" t="s">
        <v>19</v>
      </c>
      <c r="C149" s="6">
        <v>1085.5</v>
      </c>
      <c r="D149" s="4">
        <f t="shared" si="15"/>
        <v>-9.4899390294479954E-3</v>
      </c>
      <c r="E149" s="11">
        <f>D149*$E$8</f>
        <v>-2.2108884110108896E-4</v>
      </c>
      <c r="F149">
        <f>$F$8*C149</f>
        <v>14402.439567332309</v>
      </c>
      <c r="L149">
        <v>6</v>
      </c>
      <c r="M149" t="s">
        <v>19</v>
      </c>
      <c r="N149" s="6">
        <v>1154.5</v>
      </c>
      <c r="O149" s="4">
        <f t="shared" si="14"/>
        <v>-2.1029464768329321E-2</v>
      </c>
      <c r="P149" s="11">
        <f>O149*$E$8</f>
        <v>-4.8992727773895426E-4</v>
      </c>
      <c r="Q149">
        <f>$F$8*N149</f>
        <v>15317.93319252432</v>
      </c>
    </row>
    <row r="150" spans="1:17" x14ac:dyDescent="0.3">
      <c r="A150">
        <v>7</v>
      </c>
      <c r="B150" t="s">
        <v>20</v>
      </c>
      <c r="C150" s="6">
        <v>1371.5</v>
      </c>
      <c r="D150" s="4">
        <f t="shared" si="15"/>
        <v>7.4188154875984976E-3</v>
      </c>
      <c r="E150" s="11">
        <f>D150*$E$9</f>
        <v>1.7007464959994503E-4</v>
      </c>
      <c r="F150">
        <f>$F$9*C150</f>
        <v>15614.299903259416</v>
      </c>
      <c r="L150">
        <v>7</v>
      </c>
      <c r="M150" t="s">
        <v>20</v>
      </c>
      <c r="N150" s="6">
        <v>1287.30004882812</v>
      </c>
      <c r="O150" s="4">
        <f t="shared" si="14"/>
        <v>-5.5619553278331421E-3</v>
      </c>
      <c r="P150" s="11">
        <f>O150*$E$9</f>
        <v>-1.2750655479342246E-4</v>
      </c>
      <c r="Q150">
        <f>$F$9*N150</f>
        <v>14655.697431923263</v>
      </c>
    </row>
    <row r="151" spans="1:17" x14ac:dyDescent="0.3">
      <c r="A151">
        <v>8</v>
      </c>
      <c r="B151" t="s">
        <v>8</v>
      </c>
      <c r="C151" s="6">
        <v>2613.30004882812</v>
      </c>
      <c r="D151" s="4">
        <f t="shared" si="15"/>
        <v>-9.0626053337858597E-3</v>
      </c>
      <c r="E151" s="11">
        <f>D151*$E$10</f>
        <v>-1.0138425936123921E-3</v>
      </c>
      <c r="F151">
        <f>$F$10*C151</f>
        <v>77464.704674576467</v>
      </c>
      <c r="L151">
        <v>8</v>
      </c>
      <c r="M151" t="s">
        <v>8</v>
      </c>
      <c r="N151" s="6">
        <v>2703</v>
      </c>
      <c r="O151" s="4">
        <f t="shared" si="14"/>
        <v>-9.2404361485862131E-4</v>
      </c>
      <c r="P151" s="11">
        <f>O151*$E$10</f>
        <v>-1.0337367021894541E-4</v>
      </c>
      <c r="Q151">
        <f>$F$10*N151</f>
        <v>80123.634034781222</v>
      </c>
    </row>
    <row r="152" spans="1:17" x14ac:dyDescent="0.3">
      <c r="A152">
        <v>9</v>
      </c>
      <c r="B152" t="s">
        <v>11</v>
      </c>
      <c r="C152" s="6">
        <v>7046.5</v>
      </c>
      <c r="D152" s="4">
        <f t="shared" si="15"/>
        <v>-4.0986502720655781E-3</v>
      </c>
      <c r="E152" s="11">
        <f>D152*$E$11</f>
        <v>-2.1471489421237929E-4</v>
      </c>
      <c r="F152" s="18">
        <f>$F$11*C152</f>
        <v>36116.282546547431</v>
      </c>
      <c r="L152">
        <v>9</v>
      </c>
      <c r="M152" t="s">
        <v>11</v>
      </c>
      <c r="N152" s="6">
        <v>7303.5</v>
      </c>
      <c r="O152" s="4">
        <f t="shared" si="14"/>
        <v>-5.5147058823529415E-3</v>
      </c>
      <c r="P152" s="11">
        <f>O152*$E$11</f>
        <v>-2.8889742025856171E-4</v>
      </c>
      <c r="Q152" s="18">
        <f>$F$11*N152</f>
        <v>37433.515870107025</v>
      </c>
    </row>
    <row r="153" spans="1:17" x14ac:dyDescent="0.3">
      <c r="A153">
        <v>10</v>
      </c>
      <c r="B153" t="s">
        <v>12</v>
      </c>
      <c r="C153" s="6">
        <v>580.61242675781205</v>
      </c>
      <c r="D153" s="4">
        <f t="shared" si="15"/>
        <v>3.1308329702394423E-2</v>
      </c>
      <c r="E153" s="11">
        <f>D153*$E$12</f>
        <v>1.4385520496262567E-3</v>
      </c>
      <c r="F153">
        <f>$F$12*C153</f>
        <v>29294.316347407166</v>
      </c>
      <c r="L153">
        <v>10</v>
      </c>
      <c r="M153" t="s">
        <v>12</v>
      </c>
      <c r="N153" s="6">
        <v>690.29998779296795</v>
      </c>
      <c r="O153" s="4">
        <f t="shared" si="14"/>
        <v>-1.5404347695124526E-2</v>
      </c>
      <c r="P153" s="11">
        <f>O153*$E$12</f>
        <v>-7.0779745073024851E-4</v>
      </c>
      <c r="Q153">
        <f>$F$12*N153</f>
        <v>34828.510870735387</v>
      </c>
    </row>
    <row r="154" spans="1:17" x14ac:dyDescent="0.3">
      <c r="A154">
        <v>11</v>
      </c>
      <c r="B154" t="s">
        <v>13</v>
      </c>
      <c r="C154" s="6">
        <v>1824</v>
      </c>
      <c r="D154" s="4">
        <f t="shared" si="15"/>
        <v>1.0078608195680868E-2</v>
      </c>
      <c r="E154" s="11">
        <f>D154*$E$13</f>
        <v>3.5777608975556189E-4</v>
      </c>
      <c r="F154">
        <f>$F$13*C154</f>
        <v>24878.093522943174</v>
      </c>
      <c r="L154">
        <v>11</v>
      </c>
      <c r="M154" t="s">
        <v>13</v>
      </c>
      <c r="N154" s="6">
        <v>1658.19995117187</v>
      </c>
      <c r="O154" s="4">
        <f t="shared" si="14"/>
        <v>2.6558472758589552E-2</v>
      </c>
      <c r="P154" s="11">
        <f>O154*$E$13</f>
        <v>9.4278757036311866E-4</v>
      </c>
      <c r="Q154">
        <f>$F$13*N154</f>
        <v>22616.695978614905</v>
      </c>
    </row>
    <row r="155" spans="1:17" x14ac:dyDescent="0.3">
      <c r="A155">
        <v>12</v>
      </c>
      <c r="B155" t="s">
        <v>15</v>
      </c>
      <c r="C155" s="6">
        <v>6992</v>
      </c>
      <c r="D155" s="4">
        <f t="shared" si="15"/>
        <v>-8.2269503546099285E-3</v>
      </c>
      <c r="E155" s="11">
        <f>D155*$E$14</f>
        <v>-2.4744088908139019E-4</v>
      </c>
      <c r="F155">
        <f>$F$14*C155</f>
        <v>20585.678715071503</v>
      </c>
      <c r="L155">
        <v>12</v>
      </c>
      <c r="M155" t="s">
        <v>15</v>
      </c>
      <c r="N155" s="6">
        <v>6500</v>
      </c>
      <c r="O155" s="4">
        <f t="shared" si="14"/>
        <v>6.9713400464756006E-3</v>
      </c>
      <c r="P155" s="11">
        <f>O155*$E$14</f>
        <v>2.0967606522896191E-4</v>
      </c>
      <c r="Q155">
        <f>$F$14*N155</f>
        <v>19137.14411441144</v>
      </c>
    </row>
    <row r="156" spans="1:17" x14ac:dyDescent="0.3">
      <c r="A156">
        <v>13</v>
      </c>
      <c r="B156" t="s">
        <v>16</v>
      </c>
      <c r="C156" s="6">
        <v>463.350006103515</v>
      </c>
      <c r="D156" s="4">
        <f t="shared" si="15"/>
        <v>-1.2573242187501332E-2</v>
      </c>
      <c r="E156" s="11">
        <f>D156*$E$15</f>
        <v>-3.4669549049212782E-4</v>
      </c>
      <c r="F156">
        <f>$F$15*C156</f>
        <v>16800.815579930771</v>
      </c>
      <c r="L156">
        <v>13</v>
      </c>
      <c r="M156" t="s">
        <v>16</v>
      </c>
      <c r="N156" s="6">
        <v>486.45001220703102</v>
      </c>
      <c r="O156" s="4">
        <f t="shared" si="14"/>
        <v>1.5129381918437323E-2</v>
      </c>
      <c r="P156" s="11">
        <f>O156*$E$15</f>
        <v>4.1717867252008675E-4</v>
      </c>
      <c r="Q156">
        <f>$F$15*N156</f>
        <v>17638.409056413311</v>
      </c>
    </row>
    <row r="157" spans="1:17" x14ac:dyDescent="0.3">
      <c r="A157">
        <v>14</v>
      </c>
      <c r="B157" t="s">
        <v>17</v>
      </c>
      <c r="C157" s="6">
        <v>1317.80004882812</v>
      </c>
      <c r="D157" s="4">
        <f t="shared" si="15"/>
        <v>-5.0584757809588538E-3</v>
      </c>
      <c r="E157" s="11">
        <f>D157*$E$16</f>
        <v>-1.2106794641456718E-4</v>
      </c>
      <c r="F157">
        <f>$F$16*C157</f>
        <v>16635.620353206443</v>
      </c>
      <c r="L157">
        <v>14</v>
      </c>
      <c r="M157" t="s">
        <v>17</v>
      </c>
      <c r="N157" s="6">
        <v>1525.69995117187</v>
      </c>
      <c r="O157" s="4">
        <f t="shared" si="14"/>
        <v>-1.5994871865933572E-2</v>
      </c>
      <c r="P157" s="11">
        <f>O157*$E$16</f>
        <v>-3.8281616317349437E-4</v>
      </c>
      <c r="Q157">
        <f>$F$16*N157</f>
        <v>19260.103369377903</v>
      </c>
    </row>
    <row r="158" spans="1:17" x14ac:dyDescent="0.3">
      <c r="A158">
        <v>15</v>
      </c>
      <c r="B158" t="s">
        <v>18</v>
      </c>
      <c r="C158" s="6">
        <v>3623.5</v>
      </c>
      <c r="D158" s="4">
        <f t="shared" si="15"/>
        <v>-4.8925144261423165E-2</v>
      </c>
      <c r="E158" s="11">
        <f>D158*$E$17</f>
        <v>-1.1557069488641737E-3</v>
      </c>
      <c r="F158">
        <f>$F$17*C158</f>
        <v>15684.554408413193</v>
      </c>
      <c r="L158">
        <v>15</v>
      </c>
      <c r="M158" t="s">
        <v>18</v>
      </c>
      <c r="N158" s="6">
        <v>3469.30004882812</v>
      </c>
      <c r="O158" s="4">
        <f t="shared" si="14"/>
        <v>-9.450620842434386E-3</v>
      </c>
      <c r="P158" s="11">
        <f>O158*$E$17</f>
        <v>-2.2324202296310818E-4</v>
      </c>
      <c r="Q158">
        <f>$F$17*N158</f>
        <v>15017.08993375333</v>
      </c>
    </row>
    <row r="159" spans="1:17" x14ac:dyDescent="0.3">
      <c r="E159" s="16">
        <f>SUM(E144:E158)</f>
        <v>-2.0504011452159784E-3</v>
      </c>
      <c r="F159">
        <f>SUM(F144:F158)</f>
        <v>702088.74630780751</v>
      </c>
      <c r="P159" s="16">
        <f>SUM(P144:P158)</f>
        <v>9.3564228817621751E-3</v>
      </c>
      <c r="Q159">
        <f>SUM(Q144:Q158)</f>
        <v>720561.11462753639</v>
      </c>
    </row>
    <row r="162" spans="1:20" x14ac:dyDescent="0.3">
      <c r="B162" s="15">
        <v>46163</v>
      </c>
      <c r="E162" s="5"/>
      <c r="M162" s="15">
        <v>46192</v>
      </c>
      <c r="P162" s="5"/>
    </row>
    <row r="163" spans="1:20" ht="15.6" x14ac:dyDescent="0.3">
      <c r="A163" s="1" t="s">
        <v>1</v>
      </c>
      <c r="B163" s="1" t="s">
        <v>2</v>
      </c>
      <c r="C163" s="1" t="s">
        <v>68</v>
      </c>
      <c r="D163" s="1" t="s">
        <v>69</v>
      </c>
      <c r="E163" s="1" t="s">
        <v>70</v>
      </c>
      <c r="F163" s="1" t="s">
        <v>78</v>
      </c>
      <c r="H163" s="17" t="s">
        <v>76</v>
      </c>
      <c r="I163" s="17">
        <f>I144*E179</f>
        <v>10.799034298987269</v>
      </c>
      <c r="L163" s="1" t="s">
        <v>1</v>
      </c>
      <c r="M163" s="1" t="s">
        <v>2</v>
      </c>
      <c r="N163" s="1" t="s">
        <v>68</v>
      </c>
      <c r="O163" s="1" t="s">
        <v>69</v>
      </c>
      <c r="P163" s="1" t="s">
        <v>70</v>
      </c>
      <c r="Q163" s="1" t="s">
        <v>78</v>
      </c>
      <c r="S163" s="17" t="s">
        <v>76</v>
      </c>
      <c r="T163" s="17">
        <f>T144*P179</f>
        <v>6.6784934811171732</v>
      </c>
    </row>
    <row r="164" spans="1:20" ht="15.6" x14ac:dyDescent="0.3">
      <c r="A164">
        <v>1</v>
      </c>
      <c r="B164" t="s">
        <v>6</v>
      </c>
      <c r="C164" s="6">
        <v>1472.80004882812</v>
      </c>
      <c r="D164" s="4">
        <f>(C164-C144)/C144</f>
        <v>1.1816483601730186E-2</v>
      </c>
      <c r="E164" s="11">
        <f>D164*$E$3</f>
        <v>2.4791772644496908E-3</v>
      </c>
      <c r="F164">
        <f>$F$3*C164</f>
        <v>149897.95327228779</v>
      </c>
      <c r="H164" s="17" t="s">
        <v>77</v>
      </c>
      <c r="I164" s="17">
        <f>I163+I144</f>
        <v>1062.3677844207125</v>
      </c>
      <c r="L164">
        <v>1</v>
      </c>
      <c r="M164" t="s">
        <v>6</v>
      </c>
      <c r="N164" s="6">
        <v>1579.90002441406</v>
      </c>
      <c r="O164" s="4">
        <f>(N164-N144)/N144</f>
        <v>-7.5893440667805674E-4</v>
      </c>
      <c r="P164" s="11">
        <f>O164*$E$3</f>
        <v>-1.5922951274348294E-4</v>
      </c>
      <c r="Q164">
        <f>$F$3*N164</f>
        <v>160798.3244045527</v>
      </c>
      <c r="S164" s="17" t="s">
        <v>77</v>
      </c>
      <c r="T164" s="17">
        <f>T144+T163</f>
        <v>1087.9714095180057</v>
      </c>
    </row>
    <row r="165" spans="1:20" x14ac:dyDescent="0.3">
      <c r="A165">
        <v>2</v>
      </c>
      <c r="B165" t="s">
        <v>7</v>
      </c>
      <c r="C165" s="6">
        <v>18392</v>
      </c>
      <c r="D165" s="4">
        <f>(C165-C145)/C145</f>
        <v>9.9945085118067004E-3</v>
      </c>
      <c r="E165" s="11">
        <f>D165*$E$4</f>
        <v>2.0923057463603555E-3</v>
      </c>
      <c r="F165">
        <f>$F$4*C165</f>
        <v>166429.31402292894</v>
      </c>
      <c r="L165">
        <v>2</v>
      </c>
      <c r="M165" t="s">
        <v>7</v>
      </c>
      <c r="N165" s="6">
        <v>18052</v>
      </c>
      <c r="O165" s="4">
        <f t="shared" ref="O165:O178" si="16">(N165-N145)/N145</f>
        <v>1.6212564737671697E-2</v>
      </c>
      <c r="P165" s="11">
        <f>O165*$E$4</f>
        <v>3.3940280628904852E-3</v>
      </c>
      <c r="Q165">
        <f>$F$4*N165</f>
        <v>163352.65206295744</v>
      </c>
    </row>
    <row r="166" spans="1:20" x14ac:dyDescent="0.3">
      <c r="A166">
        <v>3</v>
      </c>
      <c r="B166" t="s">
        <v>9</v>
      </c>
      <c r="C166" s="6">
        <v>7276.5</v>
      </c>
      <c r="D166" s="4">
        <f t="shared" ref="D166:D178" si="17">(C166-C146)/C146</f>
        <v>2.7561496589264796E-3</v>
      </c>
      <c r="E166" s="11">
        <f>D166*$E$5</f>
        <v>2.5781295835393641E-4</v>
      </c>
      <c r="F166">
        <f>$F$5*C166</f>
        <v>62053.992000000006</v>
      </c>
      <c r="L166">
        <v>3</v>
      </c>
      <c r="M166" t="s">
        <v>9</v>
      </c>
      <c r="N166" s="6">
        <v>7460.5</v>
      </c>
      <c r="O166" s="4">
        <f t="shared" si="16"/>
        <v>2.5427805649096281E-2</v>
      </c>
      <c r="P166" s="11">
        <f>O166*$E$5</f>
        <v>2.3785420278650115E-3</v>
      </c>
      <c r="Q166">
        <f>$F$5*N166</f>
        <v>63623.144</v>
      </c>
    </row>
    <row r="167" spans="1:20" x14ac:dyDescent="0.3">
      <c r="A167">
        <v>4</v>
      </c>
      <c r="B167" t="s">
        <v>10</v>
      </c>
      <c r="C167" s="6">
        <v>3827.39990234375</v>
      </c>
      <c r="D167" s="4">
        <f t="shared" si="17"/>
        <v>2.0422270587194445E-2</v>
      </c>
      <c r="E167" s="11">
        <f>D167*$E$6</f>
        <v>1.2108531318448833E-3</v>
      </c>
      <c r="F167">
        <f>$F$6*C167</f>
        <v>42043.987927246097</v>
      </c>
      <c r="L167">
        <v>4</v>
      </c>
      <c r="M167" t="s">
        <v>10</v>
      </c>
      <c r="N167" s="6">
        <v>3839.89990234375</v>
      </c>
      <c r="O167" s="4">
        <f t="shared" si="16"/>
        <v>6.2538171824104232E-4</v>
      </c>
      <c r="P167" s="11">
        <f>O167*$E$6</f>
        <v>3.7079393738202783E-5</v>
      </c>
      <c r="Q167">
        <f>$F$6*N167</f>
        <v>42181.300427246097</v>
      </c>
    </row>
    <row r="168" spans="1:20" x14ac:dyDescent="0.3">
      <c r="A168">
        <v>5</v>
      </c>
      <c r="B168" t="s">
        <v>14</v>
      </c>
      <c r="C168" s="6">
        <v>755.09997558593705</v>
      </c>
      <c r="D168" s="4">
        <f t="shared" si="17"/>
        <v>3.4454363940435009E-2</v>
      </c>
      <c r="E168" s="11">
        <f>D168*$E$7</f>
        <v>1.0640636025194374E-3</v>
      </c>
      <c r="F168">
        <f>$F$7*C168</f>
        <v>19236.923244529309</v>
      </c>
      <c r="L168">
        <v>5</v>
      </c>
      <c r="M168" t="s">
        <v>14</v>
      </c>
      <c r="N168" s="6">
        <v>729.15002441406205</v>
      </c>
      <c r="O168" s="4">
        <f t="shared" si="16"/>
        <v>-4.7771785755403888E-3</v>
      </c>
      <c r="P168" s="11">
        <f>O168*$E$7</f>
        <v>-1.475349205040063E-4</v>
      </c>
      <c r="Q168">
        <f>$F$7*N168</f>
        <v>18575.822416780931</v>
      </c>
    </row>
    <row r="169" spans="1:20" x14ac:dyDescent="0.3">
      <c r="A169">
        <v>6</v>
      </c>
      <c r="B169" t="s">
        <v>19</v>
      </c>
      <c r="C169" s="6">
        <v>1082.80004882812</v>
      </c>
      <c r="D169" s="4">
        <f t="shared" si="17"/>
        <v>-2.4872880441087078E-3</v>
      </c>
      <c r="E169" s="11">
        <f>D169*$E$8</f>
        <v>-5.7946803393590969E-5</v>
      </c>
      <c r="F169">
        <f>$F$8*C169</f>
        <v>14366.616551590485</v>
      </c>
      <c r="L169">
        <v>6</v>
      </c>
      <c r="M169" t="s">
        <v>19</v>
      </c>
      <c r="N169" s="6">
        <v>1162.30004882812</v>
      </c>
      <c r="O169" s="4">
        <f t="shared" si="16"/>
        <v>6.7562137965526186E-3</v>
      </c>
      <c r="P169" s="11">
        <f>O169*$E$8</f>
        <v>1.5740074555546359E-4</v>
      </c>
      <c r="Q169">
        <f>$F$8*N169</f>
        <v>15421.424424094326</v>
      </c>
    </row>
    <row r="170" spans="1:20" x14ac:dyDescent="0.3">
      <c r="A170">
        <v>7</v>
      </c>
      <c r="B170" t="s">
        <v>20</v>
      </c>
      <c r="C170" s="6">
        <v>1374.19995117187</v>
      </c>
      <c r="D170" s="4">
        <f t="shared" si="17"/>
        <v>1.9686118642872749E-3</v>
      </c>
      <c r="E170" s="11">
        <f>D170*$E$9</f>
        <v>4.512997709359834E-5</v>
      </c>
      <c r="F170">
        <f>$F$9*C170</f>
        <v>15645.038399301511</v>
      </c>
      <c r="L170">
        <v>7</v>
      </c>
      <c r="M170" t="s">
        <v>20</v>
      </c>
      <c r="N170" s="6">
        <v>1277.09997558593</v>
      </c>
      <c r="O170" s="4">
        <f t="shared" si="16"/>
        <v>-7.9236175369336234E-3</v>
      </c>
      <c r="P170" s="11">
        <f>O170*$E$9</f>
        <v>-1.8164712121640747E-4</v>
      </c>
      <c r="Q170">
        <f>$F$9*N170</f>
        <v>14539.571290735683</v>
      </c>
    </row>
    <row r="171" spans="1:20" x14ac:dyDescent="0.3">
      <c r="A171">
        <v>8</v>
      </c>
      <c r="B171" t="s">
        <v>8</v>
      </c>
      <c r="C171" s="6">
        <v>2620.39990234375</v>
      </c>
      <c r="D171" s="4">
        <f t="shared" si="17"/>
        <v>2.7168152844958557E-3</v>
      </c>
      <c r="E171" s="11">
        <f>D171*$E$10</f>
        <v>3.0393280441446969E-4</v>
      </c>
      <c r="F171">
        <f>$F$10*C171</f>
        <v>77675.161968245317</v>
      </c>
      <c r="L171">
        <v>8</v>
      </c>
      <c r="M171" t="s">
        <v>8</v>
      </c>
      <c r="N171" s="6">
        <v>2709.80004882812</v>
      </c>
      <c r="O171" s="4">
        <f t="shared" si="16"/>
        <v>2.515741334857565E-3</v>
      </c>
      <c r="P171" s="11">
        <f>O171*$E$10</f>
        <v>2.8143846342742687E-4</v>
      </c>
      <c r="Q171">
        <f>$F$10*N171</f>
        <v>80325.204372821521</v>
      </c>
    </row>
    <row r="172" spans="1:20" x14ac:dyDescent="0.3">
      <c r="A172">
        <v>9</v>
      </c>
      <c r="B172" t="s">
        <v>11</v>
      </c>
      <c r="C172" s="6">
        <v>7118.5</v>
      </c>
      <c r="D172" s="4">
        <f t="shared" si="17"/>
        <v>1.0217838643298092E-2</v>
      </c>
      <c r="E172" s="11">
        <f>D172*$E$11</f>
        <v>5.35279176739627E-4</v>
      </c>
      <c r="F172" s="18">
        <f>$F$11*C172</f>
        <v>36485.312894003815</v>
      </c>
      <c r="L172">
        <v>9</v>
      </c>
      <c r="M172" t="s">
        <v>11</v>
      </c>
      <c r="N172" s="6">
        <v>7493.5</v>
      </c>
      <c r="O172" s="4">
        <f t="shared" si="16"/>
        <v>2.6014924351338401E-2</v>
      </c>
      <c r="P172" s="11">
        <f>O172*$E$11</f>
        <v>1.3628368753759584E-3</v>
      </c>
      <c r="Q172" s="18">
        <f>$F$11*N172</f>
        <v>38407.345953672484</v>
      </c>
    </row>
    <row r="173" spans="1:20" x14ac:dyDescent="0.3">
      <c r="A173">
        <v>10</v>
      </c>
      <c r="B173" t="s">
        <v>12</v>
      </c>
      <c r="C173" s="6">
        <v>589.75</v>
      </c>
      <c r="D173" s="4">
        <f t="shared" si="17"/>
        <v>1.5737818932352036E-2</v>
      </c>
      <c r="E173" s="11">
        <f>D173*$E$12</f>
        <v>7.2311975429498806E-4</v>
      </c>
      <c r="F173">
        <f>$F$12*C173</f>
        <v>29755.344993829702</v>
      </c>
      <c r="L173">
        <v>10</v>
      </c>
      <c r="M173" t="s">
        <v>12</v>
      </c>
      <c r="N173" s="6">
        <v>671.04998779296795</v>
      </c>
      <c r="O173" s="4">
        <f t="shared" si="16"/>
        <v>-2.788642668464509E-2</v>
      </c>
      <c r="P173" s="11">
        <f>O173*$E$12</f>
        <v>-1.281322786787968E-3</v>
      </c>
      <c r="Q173">
        <f>$F$12*N173</f>
        <v>33857.268155803256</v>
      </c>
    </row>
    <row r="174" spans="1:20" x14ac:dyDescent="0.3">
      <c r="A174">
        <v>11</v>
      </c>
      <c r="B174" t="s">
        <v>13</v>
      </c>
      <c r="C174" s="6">
        <v>1785.30004882812</v>
      </c>
      <c r="D174" s="4">
        <f t="shared" si="17"/>
        <v>-2.1217078493355263E-2</v>
      </c>
      <c r="E174" s="11">
        <f>D174*$E$13</f>
        <v>-7.5317575919287537E-4</v>
      </c>
      <c r="F174">
        <f>$F$13*C174</f>
        <v>24350.253059901854</v>
      </c>
      <c r="L174">
        <v>11</v>
      </c>
      <c r="M174" t="s">
        <v>13</v>
      </c>
      <c r="N174" s="6">
        <v>1644.40002441406</v>
      </c>
      <c r="O174" s="4">
        <f t="shared" si="16"/>
        <v>-8.322233243377811E-3</v>
      </c>
      <c r="P174" s="11">
        <f>O174*$E$13</f>
        <v>-2.9542730603670554E-4</v>
      </c>
      <c r="Q174">
        <f>$F$13*N174</f>
        <v>22428.474559486305</v>
      </c>
    </row>
    <row r="175" spans="1:20" x14ac:dyDescent="0.3">
      <c r="A175">
        <v>12</v>
      </c>
      <c r="B175" t="s">
        <v>15</v>
      </c>
      <c r="C175" s="6">
        <v>7057</v>
      </c>
      <c r="D175" s="4">
        <f t="shared" si="17"/>
        <v>9.2963386727688783E-3</v>
      </c>
      <c r="E175" s="11">
        <f>D175*$E$14</f>
        <v>2.7960473896657031E-4</v>
      </c>
      <c r="F175">
        <f>$F$14*C175</f>
        <v>20777.050156215617</v>
      </c>
      <c r="L175">
        <v>12</v>
      </c>
      <c r="M175" t="s">
        <v>15</v>
      </c>
      <c r="N175" s="6">
        <v>6482</v>
      </c>
      <c r="O175" s="4">
        <f t="shared" si="16"/>
        <v>-2.7692307692307691E-3</v>
      </c>
      <c r="P175" s="11">
        <f>O175*$E$14</f>
        <v>-8.3289784680181476E-5</v>
      </c>
      <c r="Q175">
        <f>$F$14*N175</f>
        <v>19084.148946094607</v>
      </c>
    </row>
    <row r="176" spans="1:20" x14ac:dyDescent="0.3">
      <c r="A176">
        <v>13</v>
      </c>
      <c r="B176" t="s">
        <v>16</v>
      </c>
      <c r="C176" s="6">
        <v>482.75</v>
      </c>
      <c r="D176" s="4">
        <f t="shared" si="17"/>
        <v>4.1868983793972227E-2</v>
      </c>
      <c r="E176" s="11">
        <f>D176*$E$15</f>
        <v>1.1544983908198193E-3</v>
      </c>
      <c r="F176">
        <f>$F$15*C176</f>
        <v>17504.248655172411</v>
      </c>
      <c r="L176">
        <v>13</v>
      </c>
      <c r="M176" t="s">
        <v>16</v>
      </c>
      <c r="N176" s="6">
        <v>484.5</v>
      </c>
      <c r="O176" s="4">
        <f t="shared" si="16"/>
        <v>-4.0086589744006539E-3</v>
      </c>
      <c r="P176" s="11">
        <f>O176*$E$15</f>
        <v>-1.1053505282249678E-4</v>
      </c>
      <c r="Q176">
        <f>$F$15*N176</f>
        <v>17567.702689655169</v>
      </c>
    </row>
    <row r="177" spans="1:20" x14ac:dyDescent="0.3">
      <c r="A177">
        <v>14</v>
      </c>
      <c r="B177" t="s">
        <v>17</v>
      </c>
      <c r="C177" s="6">
        <v>1383.69995117187</v>
      </c>
      <c r="D177" s="4">
        <f t="shared" si="17"/>
        <v>5.000751244648443E-2</v>
      </c>
      <c r="E177" s="11">
        <f>D177*$E$16</f>
        <v>1.1968638576834623E-3</v>
      </c>
      <c r="F177">
        <f>$F$16*C177</f>
        <v>17467.526345074402</v>
      </c>
      <c r="L177">
        <v>14</v>
      </c>
      <c r="M177" t="s">
        <v>17</v>
      </c>
      <c r="N177" s="6">
        <v>1563.30004882812</v>
      </c>
      <c r="O177" s="4">
        <f t="shared" si="16"/>
        <v>2.4644490305823146E-2</v>
      </c>
      <c r="P177" s="11">
        <f>O177*$E$16</f>
        <v>5.8983337292842653E-4</v>
      </c>
      <c r="Q177">
        <f>$F$16*N177</f>
        <v>19734.758800153686</v>
      </c>
    </row>
    <row r="178" spans="1:20" x14ac:dyDescent="0.3">
      <c r="A178">
        <v>15</v>
      </c>
      <c r="B178" t="s">
        <v>18</v>
      </c>
      <c r="C178" s="6">
        <v>3583.30004882812</v>
      </c>
      <c r="D178" s="4">
        <f t="shared" si="17"/>
        <v>-1.1094232419450808E-2</v>
      </c>
      <c r="E178" s="11">
        <f>D178*$E$17</f>
        <v>-2.6206732127273909E-4</v>
      </c>
      <c r="F178">
        <f>$F$17*C178</f>
        <v>15510.546316410735</v>
      </c>
      <c r="L178">
        <v>15</v>
      </c>
      <c r="M178" t="s">
        <v>18</v>
      </c>
      <c r="N178" s="6">
        <v>3503.69995117187</v>
      </c>
      <c r="O178" s="4">
        <f t="shared" si="16"/>
        <v>9.9155166343625409E-3</v>
      </c>
      <c r="P178" s="11">
        <f>O178*$E$17</f>
        <v>2.3422376466954444E-4</v>
      </c>
      <c r="Q178">
        <f>$F$17*N178</f>
        <v>15165.99213879118</v>
      </c>
    </row>
    <row r="179" spans="1:20" x14ac:dyDescent="0.3">
      <c r="E179" s="16">
        <f>SUM(E164:E178)</f>
        <v>1.0269451519681635E-2</v>
      </c>
      <c r="F179">
        <f>SUM(F164:F178)</f>
        <v>709199.26980673813</v>
      </c>
      <c r="P179" s="16">
        <f>SUM(P164:P178)</f>
        <v>6.1763962216592706E-3</v>
      </c>
      <c r="Q179">
        <f>SUM(Q164:Q178)</f>
        <v>725063.13464284502</v>
      </c>
    </row>
    <row r="180" spans="1:20" x14ac:dyDescent="0.3">
      <c r="E180" s="11"/>
    </row>
    <row r="181" spans="1:20" x14ac:dyDescent="0.3">
      <c r="E181" s="11"/>
    </row>
    <row r="182" spans="1:20" x14ac:dyDescent="0.3">
      <c r="B182" s="15">
        <v>46164</v>
      </c>
      <c r="C182" s="1"/>
      <c r="M182" s="15">
        <v>46195</v>
      </c>
      <c r="P182" s="5"/>
    </row>
    <row r="183" spans="1:20" ht="15.6" x14ac:dyDescent="0.3">
      <c r="A183" s="1" t="s">
        <v>1</v>
      </c>
      <c r="B183" s="1" t="s">
        <v>2</v>
      </c>
      <c r="C183" s="1" t="s">
        <v>68</v>
      </c>
      <c r="D183" s="1" t="s">
        <v>69</v>
      </c>
      <c r="E183" s="1" t="s">
        <v>70</v>
      </c>
      <c r="F183" s="1" t="s">
        <v>78</v>
      </c>
      <c r="H183" s="17" t="s">
        <v>76</v>
      </c>
      <c r="I183" s="17">
        <f>I164*E199</f>
        <v>-3.7705152342583226</v>
      </c>
      <c r="L183" s="1" t="s">
        <v>1</v>
      </c>
      <c r="M183" s="1" t="s">
        <v>2</v>
      </c>
      <c r="N183" s="1" t="s">
        <v>68</v>
      </c>
      <c r="O183" s="1" t="s">
        <v>69</v>
      </c>
      <c r="P183" s="1" t="s">
        <v>70</v>
      </c>
      <c r="Q183" s="1" t="s">
        <v>78</v>
      </c>
      <c r="S183" s="17" t="s">
        <v>76</v>
      </c>
      <c r="T183" s="17">
        <f>T164*P199</f>
        <v>7.1892276543139708</v>
      </c>
    </row>
    <row r="184" spans="1:20" ht="15.6" x14ac:dyDescent="0.3">
      <c r="A184">
        <v>1</v>
      </c>
      <c r="B184" t="s">
        <v>6</v>
      </c>
      <c r="C184">
        <v>1478.4</v>
      </c>
      <c r="D184" s="4">
        <f>(C184-C164)/C164</f>
        <v>3.8022480895053418E-3</v>
      </c>
      <c r="E184" s="11">
        <f>D184*$E$3</f>
        <v>7.9773707094373512E-4</v>
      </c>
      <c r="F184">
        <f>$F$3*C184</f>
        <v>150467.90247873811</v>
      </c>
      <c r="H184" s="17" t="s">
        <v>77</v>
      </c>
      <c r="I184" s="17">
        <f>I183+I164</f>
        <v>1058.5972691864542</v>
      </c>
      <c r="L184">
        <v>1</v>
      </c>
      <c r="M184" t="s">
        <v>6</v>
      </c>
      <c r="N184" s="6">
        <v>1572.19995117187</v>
      </c>
      <c r="O184" s="4">
        <f>(N184-N164)/N164</f>
        <v>-4.8737724686381588E-3</v>
      </c>
      <c r="P184" s="11">
        <f>O184*$E$3</f>
        <v>-1.0225500498794214E-3</v>
      </c>
      <c r="Q184">
        <f>$F$3*N184</f>
        <v>160014.62995806665</v>
      </c>
      <c r="S184" s="17" t="s">
        <v>77</v>
      </c>
      <c r="T184" s="17">
        <f>T164+T183</f>
        <v>1095.1606371723196</v>
      </c>
    </row>
    <row r="185" spans="1:20" x14ac:dyDescent="0.3">
      <c r="A185">
        <v>2</v>
      </c>
      <c r="B185" t="s">
        <v>7</v>
      </c>
      <c r="C185">
        <v>18132</v>
      </c>
      <c r="D185" s="4">
        <f t="shared" ref="D185:D198" si="18">(C185-C165)/C165</f>
        <v>-1.4136581122227055E-2</v>
      </c>
      <c r="E185" s="11">
        <f>D185*$E$4</f>
        <v>-2.959430159170297E-3</v>
      </c>
      <c r="F185">
        <f>$F$4*C185</f>
        <v>164076.5725241272</v>
      </c>
      <c r="L185">
        <v>2</v>
      </c>
      <c r="M185" t="s">
        <v>7</v>
      </c>
      <c r="N185" s="6">
        <v>18441</v>
      </c>
      <c r="O185" s="4">
        <f t="shared" ref="O185:O198" si="19">(N185-N165)/N165</f>
        <v>2.1548858852204741E-2</v>
      </c>
      <c r="P185" s="11">
        <f>O185*$E$4</f>
        <v>4.5111574171670683E-3</v>
      </c>
      <c r="Q185">
        <f>$F$4*N185</f>
        <v>166872.71530539542</v>
      </c>
    </row>
    <row r="186" spans="1:20" x14ac:dyDescent="0.3">
      <c r="A186">
        <v>3</v>
      </c>
      <c r="B186" t="s">
        <v>9</v>
      </c>
      <c r="C186">
        <v>7222</v>
      </c>
      <c r="D186" s="4">
        <f t="shared" si="18"/>
        <v>-7.4898646327217757E-3</v>
      </c>
      <c r="E186" s="11">
        <f>D186*$E$5</f>
        <v>-7.0060932735584419E-4</v>
      </c>
      <c r="F186">
        <f>$F$5*C186</f>
        <v>61589.216</v>
      </c>
      <c r="L186">
        <v>3</v>
      </c>
      <c r="M186" t="s">
        <v>9</v>
      </c>
      <c r="N186" s="6">
        <v>7414.5</v>
      </c>
      <c r="O186" s="4">
        <f t="shared" si="19"/>
        <v>-6.1658065813283295E-3</v>
      </c>
      <c r="P186" s="11">
        <f>O186*$E$5</f>
        <v>-5.7675563089327542E-4</v>
      </c>
      <c r="Q186">
        <f>$F$5*N186</f>
        <v>63230.856000000007</v>
      </c>
    </row>
    <row r="187" spans="1:20" x14ac:dyDescent="0.3">
      <c r="A187">
        <v>4</v>
      </c>
      <c r="B187" t="s">
        <v>10</v>
      </c>
      <c r="C187">
        <v>3834</v>
      </c>
      <c r="D187" s="4">
        <f t="shared" si="18"/>
        <v>1.7244337734889836E-3</v>
      </c>
      <c r="E187" s="11">
        <f>D187*$E$6</f>
        <v>1.0224308929671639E-4</v>
      </c>
      <c r="F187">
        <f>$F$6*C187</f>
        <v>42116.490000000005</v>
      </c>
      <c r="L187">
        <v>4</v>
      </c>
      <c r="M187" t="s">
        <v>10</v>
      </c>
      <c r="N187" s="6">
        <v>3851.39990234375</v>
      </c>
      <c r="O187" s="4">
        <f t="shared" si="19"/>
        <v>2.9948697342294713E-3</v>
      </c>
      <c r="P187" s="11">
        <f>O187*$E$6</f>
        <v>1.7756827683171867E-4</v>
      </c>
      <c r="Q187">
        <f>$F$6*N187</f>
        <v>42307.627927246096</v>
      </c>
    </row>
    <row r="188" spans="1:20" x14ac:dyDescent="0.3">
      <c r="A188">
        <v>5</v>
      </c>
      <c r="B188" t="s">
        <v>14</v>
      </c>
      <c r="C188">
        <v>750.2</v>
      </c>
      <c r="D188" s="4">
        <f>(C188-C168)/C168</f>
        <v>-6.4891746051703308E-3</v>
      </c>
      <c r="E188" s="11">
        <f>D188*$E$7</f>
        <v>-2.004069649839547E-4</v>
      </c>
      <c r="F188">
        <f>$F$7*C188</f>
        <v>19112.091490729297</v>
      </c>
      <c r="L188">
        <v>5</v>
      </c>
      <c r="M188" t="s">
        <v>14</v>
      </c>
      <c r="N188" s="6">
        <v>733.45001220703102</v>
      </c>
      <c r="O188" s="4">
        <f t="shared" si="19"/>
        <v>5.8972607131494046E-3</v>
      </c>
      <c r="P188" s="11">
        <f>O188*$E$7</f>
        <v>1.821267253773275E-4</v>
      </c>
      <c r="Q188">
        <f>$F$7*N188</f>
        <v>18685.368884533851</v>
      </c>
    </row>
    <row r="189" spans="1:20" x14ac:dyDescent="0.3">
      <c r="A189">
        <v>6</v>
      </c>
      <c r="B189" t="s">
        <v>19</v>
      </c>
      <c r="C189">
        <v>1051.3</v>
      </c>
      <c r="D189" s="4">
        <f t="shared" si="18"/>
        <v>-2.9091288703035748E-2</v>
      </c>
      <c r="E189" s="11">
        <f>D189*$E$8</f>
        <v>-6.7774506090430525E-4</v>
      </c>
      <c r="F189">
        <f>$F$8*C189</f>
        <v>13948.673161802355</v>
      </c>
      <c r="L189">
        <v>6</v>
      </c>
      <c r="M189" t="s">
        <v>19</v>
      </c>
      <c r="N189" s="6">
        <v>1226.80004882812</v>
      </c>
      <c r="O189" s="4">
        <f t="shared" si="19"/>
        <v>5.5493415891216404E-2</v>
      </c>
      <c r="P189" s="11">
        <f>O189*$E$8</f>
        <v>1.292840235333255E-3</v>
      </c>
      <c r="Q189">
        <f>$F$8*N189</f>
        <v>16277.211943295555</v>
      </c>
    </row>
    <row r="190" spans="1:20" x14ac:dyDescent="0.3">
      <c r="A190">
        <v>7</v>
      </c>
      <c r="B190" t="s">
        <v>20</v>
      </c>
      <c r="C190">
        <v>1366.1</v>
      </c>
      <c r="D190" s="4">
        <f t="shared" si="18"/>
        <v>-5.8943032016285047E-3</v>
      </c>
      <c r="E190" s="11">
        <f>D190*$E$9</f>
        <v>-1.3512555384731726E-4</v>
      </c>
      <c r="F190">
        <f>$F$9*C190</f>
        <v>15552.821799374908</v>
      </c>
      <c r="L190">
        <v>7</v>
      </c>
      <c r="M190" t="s">
        <v>20</v>
      </c>
      <c r="N190" s="6">
        <v>1282.30004882812</v>
      </c>
      <c r="O190" s="4">
        <f t="shared" si="19"/>
        <v>4.0717824301924532E-3</v>
      </c>
      <c r="P190" s="11">
        <f>O190*$E$9</f>
        <v>9.3344681670518473E-5</v>
      </c>
      <c r="Q190">
        <f>$F$9*N190</f>
        <v>14598.773261659831</v>
      </c>
    </row>
    <row r="191" spans="1:20" x14ac:dyDescent="0.3">
      <c r="A191">
        <v>8</v>
      </c>
      <c r="B191" t="s">
        <v>8</v>
      </c>
      <c r="C191">
        <v>2639.4</v>
      </c>
      <c r="D191" s="4">
        <f t="shared" si="18"/>
        <v>7.2508389422759239E-3</v>
      </c>
      <c r="E191" s="11">
        <f>D191*$E$10</f>
        <v>8.1115850115386469E-4</v>
      </c>
      <c r="F191">
        <f>$F$10*C191</f>
        <v>78238.372057492263</v>
      </c>
      <c r="L191">
        <v>8</v>
      </c>
      <c r="M191" t="s">
        <v>8</v>
      </c>
      <c r="N191" s="6">
        <v>2720.69995117187</v>
      </c>
      <c r="O191" s="4">
        <f t="shared" si="19"/>
        <v>4.0224009695710838E-3</v>
      </c>
      <c r="P191" s="11">
        <f>O191*$E$10</f>
        <v>4.4998996219504904E-4</v>
      </c>
      <c r="Q191">
        <f>$F$10*N191</f>
        <v>80648.304552771762</v>
      </c>
    </row>
    <row r="192" spans="1:20" x14ac:dyDescent="0.3">
      <c r="A192">
        <v>9</v>
      </c>
      <c r="B192" t="s">
        <v>11</v>
      </c>
      <c r="C192">
        <v>7125</v>
      </c>
      <c r="D192" s="4">
        <f t="shared" si="18"/>
        <v>9.1311371777762164E-4</v>
      </c>
      <c r="E192" s="11">
        <f>D192*$E$11</f>
        <v>4.7835043807650214E-5</v>
      </c>
      <c r="F192" s="18">
        <f>$F$11*C192</f>
        <v>36518.62813370474</v>
      </c>
      <c r="L192">
        <v>9</v>
      </c>
      <c r="M192" t="s">
        <v>11</v>
      </c>
      <c r="N192" s="6">
        <v>7572</v>
      </c>
      <c r="O192" s="4">
        <f t="shared" si="19"/>
        <v>1.047574564622673E-2</v>
      </c>
      <c r="P192" s="11">
        <f>O192*$E$11</f>
        <v>5.4879008183633009E-4</v>
      </c>
      <c r="Q192" s="18">
        <f>$F$11*N192</f>
        <v>38809.691540829794</v>
      </c>
    </row>
    <row r="193" spans="1:17" x14ac:dyDescent="0.3">
      <c r="A193">
        <v>10</v>
      </c>
      <c r="B193" t="s">
        <v>12</v>
      </c>
      <c r="C193">
        <v>587.15</v>
      </c>
      <c r="D193" s="4">
        <f t="shared" si="18"/>
        <v>-4.4086477320899068E-3</v>
      </c>
      <c r="E193" s="11">
        <f>D193*$E$12</f>
        <v>-2.0256811178889081E-4</v>
      </c>
      <c r="F193">
        <f>$F$12*C193</f>
        <v>29624.164159605101</v>
      </c>
      <c r="L193">
        <v>10</v>
      </c>
      <c r="M193" t="s">
        <v>12</v>
      </c>
      <c r="N193" s="6">
        <v>655.04998779296795</v>
      </c>
      <c r="O193" s="4">
        <f t="shared" si="19"/>
        <v>-2.3843231191498528E-2</v>
      </c>
      <c r="P193" s="11">
        <f>O193*$E$12</f>
        <v>-1.0955464384808655E-3</v>
      </c>
      <c r="Q193">
        <f>$F$12*N193</f>
        <v>33050.001483651882</v>
      </c>
    </row>
    <row r="194" spans="1:17" x14ac:dyDescent="0.3">
      <c r="A194">
        <v>11</v>
      </c>
      <c r="B194" t="s">
        <v>13</v>
      </c>
      <c r="C194">
        <v>1739.8</v>
      </c>
      <c r="D194" s="4">
        <f t="shared" si="18"/>
        <v>-2.5485939384803414E-2</v>
      </c>
      <c r="E194" s="11">
        <f>D194*$E$13</f>
        <v>-9.0471417876426775E-4</v>
      </c>
      <c r="F194">
        <f>$F$13*C194</f>
        <v>23729.663986412572</v>
      </c>
      <c r="L194">
        <v>11</v>
      </c>
      <c r="M194" t="s">
        <v>13</v>
      </c>
      <c r="N194" s="6">
        <v>1671.5</v>
      </c>
      <c r="O194" s="4">
        <f t="shared" si="19"/>
        <v>1.6480160048402082E-2</v>
      </c>
      <c r="P194" s="11">
        <f>O194*$E$13</f>
        <v>5.8502196991742526E-4</v>
      </c>
      <c r="Q194">
        <f>$F$13*N194</f>
        <v>22798.099409868155</v>
      </c>
    </row>
    <row r="195" spans="1:17" x14ac:dyDescent="0.3">
      <c r="A195">
        <v>12</v>
      </c>
      <c r="B195" t="s">
        <v>15</v>
      </c>
      <c r="C195">
        <v>7034.5</v>
      </c>
      <c r="D195" s="4">
        <f t="shared" si="18"/>
        <v>-3.1883236502763214E-3</v>
      </c>
      <c r="E195" s="11">
        <f>D195*$E$14</f>
        <v>-9.5894785394144049E-5</v>
      </c>
      <c r="F195">
        <f>$F$14*C195</f>
        <v>20710.806195819579</v>
      </c>
      <c r="L195">
        <v>12</v>
      </c>
      <c r="M195" t="s">
        <v>15</v>
      </c>
      <c r="N195" s="6">
        <v>6546</v>
      </c>
      <c r="O195" s="4">
        <f t="shared" si="19"/>
        <v>9.8734958346189446E-3</v>
      </c>
      <c r="P195" s="11">
        <f>O195*$E$14</f>
        <v>2.9696381798275138E-4</v>
      </c>
      <c r="Q195">
        <f>$F$14*N195</f>
        <v>19272.57621122112</v>
      </c>
    </row>
    <row r="196" spans="1:17" x14ac:dyDescent="0.3">
      <c r="A196">
        <v>13</v>
      </c>
      <c r="B196" t="s">
        <v>16</v>
      </c>
      <c r="C196">
        <v>476.2</v>
      </c>
      <c r="D196" s="4">
        <f t="shared" si="18"/>
        <v>-1.3568099430346994E-2</v>
      </c>
      <c r="E196" s="11">
        <f>D196*$E$15</f>
        <v>-3.7412775614281972E-4</v>
      </c>
      <c r="F196">
        <f>$F$15*C196</f>
        <v>17266.749268965516</v>
      </c>
      <c r="L196">
        <v>13</v>
      </c>
      <c r="M196" t="s">
        <v>16</v>
      </c>
      <c r="N196" s="6">
        <v>486.20001220703102</v>
      </c>
      <c r="O196" s="4">
        <f t="shared" si="19"/>
        <v>3.5087971249350312E-3</v>
      </c>
      <c r="P196" s="11">
        <f>O196*$E$15</f>
        <v>9.6751825990911677E-5</v>
      </c>
      <c r="Q196">
        <f>$F$15*N196</f>
        <v>17629.344194344343</v>
      </c>
    </row>
    <row r="197" spans="1:17" x14ac:dyDescent="0.3">
      <c r="A197">
        <v>14</v>
      </c>
      <c r="B197" t="s">
        <v>17</v>
      </c>
      <c r="C197">
        <v>1473.9</v>
      </c>
      <c r="D197" s="4">
        <f t="shared" si="18"/>
        <v>6.5187578240310504E-2</v>
      </c>
      <c r="E197" s="11">
        <f>D197*$E$16</f>
        <v>1.5601787121331903E-3</v>
      </c>
      <c r="F197">
        <f>$F$16*C197</f>
        <v>18606.192085358627</v>
      </c>
      <c r="L197">
        <v>14</v>
      </c>
      <c r="M197" t="s">
        <v>17</v>
      </c>
      <c r="N197" s="6">
        <v>1602.59997558593</v>
      </c>
      <c r="O197" s="4">
        <f t="shared" si="19"/>
        <v>2.5139081129863704E-2</v>
      </c>
      <c r="P197" s="11">
        <f>O197*$E$16</f>
        <v>6.0167075200761005E-4</v>
      </c>
      <c r="Q197">
        <f>$F$16*N197</f>
        <v>20230.87250270904</v>
      </c>
    </row>
    <row r="198" spans="1:17" x14ac:dyDescent="0.3">
      <c r="A198">
        <v>15</v>
      </c>
      <c r="B198" t="s">
        <v>18</v>
      </c>
      <c r="C198">
        <v>3489.6</v>
      </c>
      <c r="D198" s="4">
        <f t="shared" si="18"/>
        <v>-2.6149093726818576E-2</v>
      </c>
      <c r="E198" s="11">
        <f>D198*$E$17</f>
        <v>-6.1769239074913507E-4</v>
      </c>
      <c r="F198">
        <f>$F$17*C198</f>
        <v>15104.95958702875</v>
      </c>
      <c r="L198">
        <v>15</v>
      </c>
      <c r="M198" t="s">
        <v>18</v>
      </c>
      <c r="N198" s="6">
        <v>3572.89990234375</v>
      </c>
      <c r="O198" s="4">
        <f t="shared" si="19"/>
        <v>1.9750535758273177E-2</v>
      </c>
      <c r="P198" s="11">
        <f>O198*$E$17</f>
        <v>4.6654602176869858E-4</v>
      </c>
      <c r="Q198">
        <f>$F$17*N198</f>
        <v>15465.528608838065</v>
      </c>
    </row>
    <row r="199" spans="1:17" x14ac:dyDescent="0.3">
      <c r="E199" s="16">
        <f>SUM(E184:E198)</f>
        <v>-3.5491618717658196E-3</v>
      </c>
      <c r="F199">
        <f>SUM(F184:F198)</f>
        <v>706663.30292915914</v>
      </c>
      <c r="P199" s="16">
        <f>SUM(P184:P198)</f>
        <v>6.6079196488251016E-3</v>
      </c>
      <c r="Q199">
        <f>SUM(Q184:Q198)</f>
        <v>729891.60178443172</v>
      </c>
    </row>
    <row r="200" spans="1:17" x14ac:dyDescent="0.3">
      <c r="E200" s="11"/>
    </row>
    <row r="201" spans="1:17" x14ac:dyDescent="0.3">
      <c r="E201" s="11"/>
    </row>
    <row r="202" spans="1:17" x14ac:dyDescent="0.3">
      <c r="B202" s="15">
        <v>46167</v>
      </c>
      <c r="C202" s="1"/>
    </row>
    <row r="203" spans="1:17" ht="15.6" x14ac:dyDescent="0.3">
      <c r="A203" s="1" t="s">
        <v>1</v>
      </c>
      <c r="B203" s="1" t="s">
        <v>2</v>
      </c>
      <c r="C203" s="1" t="s">
        <v>68</v>
      </c>
      <c r="D203" s="1" t="s">
        <v>69</v>
      </c>
      <c r="E203" s="1" t="s">
        <v>70</v>
      </c>
      <c r="F203" s="1" t="s">
        <v>78</v>
      </c>
      <c r="H203" s="17" t="s">
        <v>76</v>
      </c>
      <c r="I203" s="17">
        <f>I184*E219</f>
        <v>11.20196088671997</v>
      </c>
    </row>
    <row r="204" spans="1:17" ht="15.6" x14ac:dyDescent="0.3">
      <c r="A204">
        <v>1</v>
      </c>
      <c r="B204" t="s">
        <v>6</v>
      </c>
      <c r="C204" s="6">
        <v>1477.19995117187</v>
      </c>
      <c r="D204" s="4">
        <f>(C204-C184)/C184</f>
        <v>-8.1172133937371018E-4</v>
      </c>
      <c r="E204" s="11">
        <f>D204*$E$3</f>
        <v>-1.7030456415555769E-4</v>
      </c>
      <c r="F204">
        <f>$F$3*C204</f>
        <v>150345.7644714053</v>
      </c>
      <c r="H204" s="17" t="s">
        <v>77</v>
      </c>
      <c r="I204" s="17">
        <f>I203+I184</f>
        <v>1069.7992300731742</v>
      </c>
    </row>
    <row r="205" spans="1:17" x14ac:dyDescent="0.3">
      <c r="A205">
        <v>2</v>
      </c>
      <c r="B205" t="s">
        <v>7</v>
      </c>
      <c r="C205" s="6">
        <v>18377</v>
      </c>
      <c r="D205" s="4">
        <f>(C205-C185)/C185</f>
        <v>1.3512022942863446E-2</v>
      </c>
      <c r="E205" s="11">
        <f>D205*$E$4</f>
        <v>2.8286816920420599E-3</v>
      </c>
      <c r="F205">
        <f>$F$4*C205</f>
        <v>166293.57893645961</v>
      </c>
    </row>
    <row r="206" spans="1:17" x14ac:dyDescent="0.3">
      <c r="A206">
        <v>3</v>
      </c>
      <c r="B206" t="s">
        <v>9</v>
      </c>
      <c r="C206" s="6">
        <v>7255</v>
      </c>
      <c r="D206" s="4">
        <f t="shared" ref="D206:D218" si="20">(C206-C186)/C186</f>
        <v>4.5693713652727773E-3</v>
      </c>
      <c r="E206" s="11">
        <f>D206*$E$5</f>
        <v>4.2742350571688039E-4</v>
      </c>
      <c r="F206">
        <f>$F$5*C206</f>
        <v>61870.640000000007</v>
      </c>
    </row>
    <row r="207" spans="1:17" x14ac:dyDescent="0.3">
      <c r="A207">
        <v>4</v>
      </c>
      <c r="B207" t="s">
        <v>10</v>
      </c>
      <c r="C207" s="6">
        <v>3832.39990234375</v>
      </c>
      <c r="D207" s="4">
        <f t="shared" si="20"/>
        <v>-4.1734419829160145E-4</v>
      </c>
      <c r="E207" s="11">
        <f>D207*$E$6</f>
        <v>-2.4744678971962454E-5</v>
      </c>
      <c r="F207">
        <f>$F$6*C207</f>
        <v>42098.9129272461</v>
      </c>
    </row>
    <row r="208" spans="1:17" x14ac:dyDescent="0.3">
      <c r="A208">
        <v>5</v>
      </c>
      <c r="B208" t="s">
        <v>14</v>
      </c>
      <c r="C208" s="6">
        <v>765.95001220703102</v>
      </c>
      <c r="D208" s="4">
        <f>(C208-C188)/C188</f>
        <v>2.09944177646374E-2</v>
      </c>
      <c r="E208" s="11">
        <f>D208*$E$7</f>
        <v>6.4837638094433195E-4</v>
      </c>
      <c r="F208">
        <f>$F$7*C208</f>
        <v>19513.33872384164</v>
      </c>
    </row>
    <row r="209" spans="1:9" x14ac:dyDescent="0.3">
      <c r="A209">
        <v>6</v>
      </c>
      <c r="B209" t="s">
        <v>19</v>
      </c>
      <c r="C209" s="6">
        <v>1074.5</v>
      </c>
      <c r="D209" s="4">
        <f t="shared" si="20"/>
        <v>2.2067915913630786E-2</v>
      </c>
      <c r="E209" s="11">
        <f>D209*$E$8</f>
        <v>5.141202635465938E-4</v>
      </c>
      <c r="F209">
        <f>$F$8*C209</f>
        <v>14256.491308243727</v>
      </c>
    </row>
    <row r="210" spans="1:9" x14ac:dyDescent="0.3">
      <c r="A210">
        <v>7</v>
      </c>
      <c r="B210" t="s">
        <v>20</v>
      </c>
      <c r="C210" s="6">
        <v>1371.09997558593</v>
      </c>
      <c r="D210" s="4">
        <f t="shared" si="20"/>
        <v>3.6600362974380267E-3</v>
      </c>
      <c r="E210" s="11">
        <f>D210*$E$9</f>
        <v>8.3905495675206735E-5</v>
      </c>
      <c r="F210">
        <f>$F$9*C210</f>
        <v>15609.745691688206</v>
      </c>
    </row>
    <row r="211" spans="1:9" x14ac:dyDescent="0.3">
      <c r="A211">
        <v>8</v>
      </c>
      <c r="B211" t="s">
        <v>8</v>
      </c>
      <c r="C211" s="6">
        <v>2711</v>
      </c>
      <c r="D211" s="4">
        <f t="shared" si="20"/>
        <v>2.7127377434265326E-2</v>
      </c>
      <c r="E211" s="11">
        <f>D211*$E$10</f>
        <v>3.0347664587495218E-3</v>
      </c>
      <c r="F211">
        <f>$F$10*C211</f>
        <v>80360.773906138333</v>
      </c>
    </row>
    <row r="212" spans="1:9" x14ac:dyDescent="0.3">
      <c r="A212">
        <v>9</v>
      </c>
      <c r="B212" t="s">
        <v>11</v>
      </c>
      <c r="C212" s="6">
        <v>7445.5</v>
      </c>
      <c r="D212" s="4">
        <f t="shared" si="20"/>
        <v>4.4982456140350874E-2</v>
      </c>
      <c r="E212" s="11">
        <f>D212*$E$11</f>
        <v>2.3564838838325496E-3</v>
      </c>
      <c r="F212" s="18">
        <f>$F$11*C212</f>
        <v>38161.325722034897</v>
      </c>
    </row>
    <row r="213" spans="1:9" x14ac:dyDescent="0.3">
      <c r="A213">
        <v>10</v>
      </c>
      <c r="B213" t="s">
        <v>12</v>
      </c>
      <c r="C213" s="6">
        <v>593.25</v>
      </c>
      <c r="D213" s="4">
        <f t="shared" si="20"/>
        <v>1.0389168014987691E-2</v>
      </c>
      <c r="E213" s="11">
        <f>D213*$E$12</f>
        <v>4.7736046872947968E-4</v>
      </c>
      <c r="F213">
        <f>$F$12*C213</f>
        <v>29931.934578362816</v>
      </c>
    </row>
    <row r="214" spans="1:9" x14ac:dyDescent="0.3">
      <c r="A214">
        <v>11</v>
      </c>
      <c r="B214" t="s">
        <v>13</v>
      </c>
      <c r="C214" s="6">
        <v>1745.90002441406</v>
      </c>
      <c r="D214" s="4">
        <f t="shared" si="20"/>
        <v>3.5061641648810463E-3</v>
      </c>
      <c r="E214" s="11">
        <f>D214*$E$13</f>
        <v>1.2446378315309362E-4</v>
      </c>
      <c r="F214">
        <f>$F$13*C214</f>
        <v>23812.864083926401</v>
      </c>
    </row>
    <row r="215" spans="1:9" x14ac:dyDescent="0.3">
      <c r="A215">
        <v>12</v>
      </c>
      <c r="B215" t="s">
        <v>15</v>
      </c>
      <c r="C215" s="6">
        <v>7039.5</v>
      </c>
      <c r="D215" s="4">
        <f t="shared" si="20"/>
        <v>7.1078257161134406E-4</v>
      </c>
      <c r="E215" s="11">
        <f>D215*$E$14</f>
        <v>2.1378112651976358E-5</v>
      </c>
      <c r="F215">
        <f>$F$14*C215</f>
        <v>20725.527075907587</v>
      </c>
    </row>
    <row r="216" spans="1:9" x14ac:dyDescent="0.3">
      <c r="A216">
        <v>13</v>
      </c>
      <c r="B216" t="s">
        <v>16</v>
      </c>
      <c r="C216" s="6">
        <v>482.600006103515</v>
      </c>
      <c r="D216" s="4">
        <f t="shared" si="20"/>
        <v>1.3439744022501074E-2</v>
      </c>
      <c r="E216" s="11">
        <f>D216*$E$15</f>
        <v>3.7058847483280923E-4</v>
      </c>
      <c r="F216">
        <f>$F$15*C216</f>
        <v>17498.809959241116</v>
      </c>
    </row>
    <row r="217" spans="1:9" x14ac:dyDescent="0.3">
      <c r="A217">
        <v>14</v>
      </c>
      <c r="B217" t="s">
        <v>17</v>
      </c>
      <c r="C217" s="6">
        <v>1456.5</v>
      </c>
      <c r="D217" s="4">
        <f t="shared" si="20"/>
        <v>-1.1805414207205435E-2</v>
      </c>
      <c r="E217" s="11">
        <f>D217*$E$16</f>
        <v>-2.8254701940448878E-4</v>
      </c>
      <c r="F217">
        <f>$F$16*C217</f>
        <v>18386.538280972141</v>
      </c>
    </row>
    <row r="218" spans="1:9" x14ac:dyDescent="0.3">
      <c r="A218">
        <v>15</v>
      </c>
      <c r="B218" t="s">
        <v>18</v>
      </c>
      <c r="C218" s="6">
        <v>3515</v>
      </c>
      <c r="D218" s="4">
        <f t="shared" si="20"/>
        <v>7.2787712058688938E-3</v>
      </c>
      <c r="E218" s="11">
        <f>D218*$E$17</f>
        <v>1.7193871553789148E-4</v>
      </c>
      <c r="F218">
        <f>$F$17*C218</f>
        <v>15214.905131936628</v>
      </c>
    </row>
    <row r="219" spans="1:9" x14ac:dyDescent="0.3">
      <c r="E219" s="16">
        <f>SUM(E204:E218)</f>
        <v>1.0581890972880387E-2</v>
      </c>
      <c r="F219">
        <f>SUM(F204:F218)</f>
        <v>714081.15079740458</v>
      </c>
    </row>
    <row r="222" spans="1:9" x14ac:dyDescent="0.3">
      <c r="B222" s="15">
        <v>46168</v>
      </c>
      <c r="C222" s="1"/>
    </row>
    <row r="223" spans="1:9" ht="15.6" x14ac:dyDescent="0.3">
      <c r="A223" s="1" t="s">
        <v>1</v>
      </c>
      <c r="B223" s="1" t="s">
        <v>2</v>
      </c>
      <c r="C223" s="1" t="s">
        <v>68</v>
      </c>
      <c r="D223" s="1" t="s">
        <v>69</v>
      </c>
      <c r="E223" s="1" t="s">
        <v>70</v>
      </c>
      <c r="F223" s="1" t="s">
        <v>78</v>
      </c>
      <c r="H223" s="17" t="s">
        <v>76</v>
      </c>
      <c r="I223" s="17">
        <f>I204*E239</f>
        <v>3.9715119269490766</v>
      </c>
    </row>
    <row r="224" spans="1:9" ht="15.6" x14ac:dyDescent="0.3">
      <c r="A224">
        <v>1</v>
      </c>
      <c r="B224" t="s">
        <v>6</v>
      </c>
      <c r="C224" s="6">
        <v>1478.5</v>
      </c>
      <c r="D224" s="4">
        <f>(C224-C204)/C204</f>
        <v>8.8007640881565628E-4</v>
      </c>
      <c r="E224" s="11">
        <f>D224*$E$3</f>
        <v>1.8464591474529992E-4</v>
      </c>
      <c r="F224">
        <f>$F$3*C224</f>
        <v>150478.08023188196</v>
      </c>
      <c r="H224" s="17" t="s">
        <v>77</v>
      </c>
      <c r="I224" s="17">
        <f>I223+I204</f>
        <v>1073.7707420001232</v>
      </c>
    </row>
    <row r="225" spans="1:6" x14ac:dyDescent="0.3">
      <c r="A225">
        <v>2</v>
      </c>
      <c r="B225" t="s">
        <v>7</v>
      </c>
      <c r="C225" s="6">
        <v>18479</v>
      </c>
      <c r="D225" s="4">
        <f>(C225-C205)/C205</f>
        <v>5.5504162812210914E-3</v>
      </c>
      <c r="E225" s="11">
        <f>D225*$E$4</f>
        <v>1.1619548741363432E-3</v>
      </c>
      <c r="F225">
        <f>$F$4*C225</f>
        <v>167216.57752445107</v>
      </c>
    </row>
    <row r="226" spans="1:6" x14ac:dyDescent="0.3">
      <c r="A226">
        <v>3</v>
      </c>
      <c r="B226" t="s">
        <v>9</v>
      </c>
      <c r="C226" s="6">
        <v>7248.5</v>
      </c>
      <c r="D226" s="4">
        <f t="shared" ref="D226:D238" si="21">(C226-C206)/C206</f>
        <v>-8.9593383873190903E-4</v>
      </c>
      <c r="E226" s="11">
        <f>D226*$E$5</f>
        <v>-8.3806535216538302E-5</v>
      </c>
      <c r="F226">
        <f>$F$5*C226</f>
        <v>61815.208000000006</v>
      </c>
    </row>
    <row r="227" spans="1:6" x14ac:dyDescent="0.3">
      <c r="A227">
        <v>4</v>
      </c>
      <c r="B227" t="s">
        <v>10</v>
      </c>
      <c r="C227" s="6">
        <v>3784.19995117187</v>
      </c>
      <c r="D227" s="4">
        <f t="shared" si="21"/>
        <v>-1.2576962843152862E-2</v>
      </c>
      <c r="E227" s="11">
        <f>D227*$E$6</f>
        <v>-7.4569841696630224E-4</v>
      </c>
      <c r="F227">
        <f>$F$6*C227</f>
        <v>41569.436463622995</v>
      </c>
    </row>
    <row r="228" spans="1:6" x14ac:dyDescent="0.3">
      <c r="A228">
        <v>5</v>
      </c>
      <c r="B228" t="s">
        <v>14</v>
      </c>
      <c r="C228" s="6">
        <v>783.90002441406205</v>
      </c>
      <c r="D228" s="4">
        <f>(C228-C208)/C208</f>
        <v>2.343496562564093E-2</v>
      </c>
      <c r="E228" s="11">
        <f>D228*$E$7</f>
        <v>7.2374849211115149E-4</v>
      </c>
      <c r="F228">
        <f>$F$7*C228</f>
        <v>19970.633146076358</v>
      </c>
    </row>
    <row r="229" spans="1:6" x14ac:dyDescent="0.3">
      <c r="A229">
        <v>6</v>
      </c>
      <c r="B229" t="s">
        <v>19</v>
      </c>
      <c r="C229" s="6">
        <v>1097.5</v>
      </c>
      <c r="D229" s="4">
        <f t="shared" si="21"/>
        <v>2.1405304792926943E-2</v>
      </c>
      <c r="E229" s="11">
        <f>D229*$E$8</f>
        <v>4.9868329136768734E-4</v>
      </c>
      <c r="F229">
        <f>$F$8*C229</f>
        <v>14561.655849974399</v>
      </c>
    </row>
    <row r="230" spans="1:6" x14ac:dyDescent="0.3">
      <c r="A230">
        <v>7</v>
      </c>
      <c r="B230" t="s">
        <v>20</v>
      </c>
      <c r="C230" s="6">
        <v>1370.30004882812</v>
      </c>
      <c r="D230" s="4">
        <f t="shared" si="21"/>
        <v>-5.8341971559598032E-4</v>
      </c>
      <c r="E230" s="11">
        <f>D230*$E$9</f>
        <v>-1.3374763648665087E-5</v>
      </c>
      <c r="F230">
        <f>$F$9*C230</f>
        <v>15600.638658296235</v>
      </c>
    </row>
    <row r="231" spans="1:6" x14ac:dyDescent="0.3">
      <c r="A231">
        <v>8</v>
      </c>
      <c r="B231" t="s">
        <v>8</v>
      </c>
      <c r="C231" s="6">
        <v>2749.69995117187</v>
      </c>
      <c r="D231" s="4">
        <f t="shared" si="21"/>
        <v>1.4275157200984876E-2</v>
      </c>
      <c r="E231" s="11">
        <f>D231*$E$10</f>
        <v>1.5969759101078715E-3</v>
      </c>
      <c r="F231">
        <f>$F$10*C231</f>
        <v>81507.936586441254</v>
      </c>
    </row>
    <row r="232" spans="1:6" x14ac:dyDescent="0.3">
      <c r="A232">
        <v>9</v>
      </c>
      <c r="B232" t="s">
        <v>11</v>
      </c>
      <c r="C232" s="6">
        <v>7396</v>
      </c>
      <c r="D232" s="4">
        <f t="shared" si="21"/>
        <v>-6.6483110603720369E-3</v>
      </c>
      <c r="E232" s="11">
        <f>D232*$E$11</f>
        <v>-3.4828329114778721E-4</v>
      </c>
      <c r="F232" s="18">
        <f>$F$11*C232</f>
        <v>37907.617358158634</v>
      </c>
    </row>
    <row r="233" spans="1:6" x14ac:dyDescent="0.3">
      <c r="A233">
        <v>10</v>
      </c>
      <c r="B233" t="s">
        <v>12</v>
      </c>
      <c r="C233" s="6">
        <v>606.40002441406205</v>
      </c>
      <c r="D233" s="4">
        <f t="shared" si="21"/>
        <v>2.2166075708490593E-2</v>
      </c>
      <c r="E233" s="11">
        <f>D233*$E$12</f>
        <v>1.0184846635296946E-3</v>
      </c>
      <c r="F233">
        <f>$F$12*C233</f>
        <v>30595.408106328392</v>
      </c>
    </row>
    <row r="234" spans="1:6" x14ac:dyDescent="0.3">
      <c r="A234">
        <v>11</v>
      </c>
      <c r="B234" t="s">
        <v>13</v>
      </c>
      <c r="C234" s="6">
        <v>1727.09997558593</v>
      </c>
      <c r="D234" s="4">
        <f t="shared" si="21"/>
        <v>-1.0768113044983473E-2</v>
      </c>
      <c r="E234" s="11">
        <f>D234*$E$13</f>
        <v>-3.8225251984009482E-4</v>
      </c>
      <c r="F234">
        <f>$F$13*C234</f>
        <v>23556.444471545852</v>
      </c>
    </row>
    <row r="235" spans="1:6" x14ac:dyDescent="0.3">
      <c r="A235">
        <v>12</v>
      </c>
      <c r="B235" t="s">
        <v>15</v>
      </c>
      <c r="C235" s="6">
        <v>7018</v>
      </c>
      <c r="D235" s="4">
        <f t="shared" si="21"/>
        <v>-3.054194189928262E-3</v>
      </c>
      <c r="E235" s="11">
        <f>D235*$E$14</f>
        <v>-9.1860591496045033E-5</v>
      </c>
      <c r="F235">
        <f>$F$14*C235</f>
        <v>20662.227291529151</v>
      </c>
    </row>
    <row r="236" spans="1:6" x14ac:dyDescent="0.3">
      <c r="A236">
        <v>13</v>
      </c>
      <c r="B236" t="s">
        <v>16</v>
      </c>
      <c r="C236" s="6">
        <v>491</v>
      </c>
      <c r="D236" s="4">
        <f t="shared" si="21"/>
        <v>1.7405706154680921E-2</v>
      </c>
      <c r="E236" s="11">
        <f>D236*$E$15</f>
        <v>4.7994620183628041E-4</v>
      </c>
      <c r="F236">
        <f>$F$15*C236</f>
        <v>17803.389103448273</v>
      </c>
    </row>
    <row r="237" spans="1:6" x14ac:dyDescent="0.3">
      <c r="A237">
        <v>14</v>
      </c>
      <c r="B237" t="s">
        <v>17</v>
      </c>
      <c r="C237" s="6">
        <v>1448.69995117187</v>
      </c>
      <c r="D237" s="4">
        <f t="shared" si="21"/>
        <v>-5.3553373347957449E-3</v>
      </c>
      <c r="E237" s="11">
        <f>D237*$E$16</f>
        <v>-1.2817293618792085E-4</v>
      </c>
      <c r="F237">
        <f>$F$16*C237</f>
        <v>18288.072166058399</v>
      </c>
    </row>
    <row r="238" spans="1:6" x14ac:dyDescent="0.3">
      <c r="A238">
        <v>15</v>
      </c>
      <c r="B238" t="s">
        <v>18</v>
      </c>
      <c r="C238" s="6">
        <v>3491.39990234375</v>
      </c>
      <c r="D238" s="4">
        <f t="shared" si="21"/>
        <v>-6.7141102862731152E-3</v>
      </c>
      <c r="E238" s="11">
        <f>D238*$E$17</f>
        <v>-1.5860032771338324E-4</v>
      </c>
      <c r="F238">
        <f>$F$17*C238</f>
        <v>15112.750580885622</v>
      </c>
    </row>
    <row r="239" spans="1:6" x14ac:dyDescent="0.3">
      <c r="E239" s="16">
        <f>SUM(E224:E238)</f>
        <v>3.7123899656175911E-3</v>
      </c>
      <c r="F239">
        <f>SUM(F224:F238)</f>
        <v>716646.07553869858</v>
      </c>
    </row>
    <row r="242" spans="1:9" x14ac:dyDescent="0.3">
      <c r="B242" s="15">
        <v>46169</v>
      </c>
      <c r="C242" s="1"/>
    </row>
    <row r="243" spans="1:9" ht="15.6" x14ac:dyDescent="0.3">
      <c r="A243" s="1" t="s">
        <v>1</v>
      </c>
      <c r="B243" s="1" t="s">
        <v>2</v>
      </c>
      <c r="C243" s="1" t="s">
        <v>68</v>
      </c>
      <c r="D243" s="1" t="s">
        <v>69</v>
      </c>
      <c r="E243" s="1" t="s">
        <v>70</v>
      </c>
      <c r="F243" s="1" t="s">
        <v>78</v>
      </c>
      <c r="H243" s="17" t="s">
        <v>76</v>
      </c>
      <c r="I243" s="17">
        <f>I224*E259</f>
        <v>-1.478305257631596</v>
      </c>
    </row>
    <row r="244" spans="1:9" ht="15.6" x14ac:dyDescent="0.3">
      <c r="A244">
        <v>1</v>
      </c>
      <c r="B244" t="s">
        <v>6</v>
      </c>
      <c r="C244" s="6">
        <v>1480.69995117187</v>
      </c>
      <c r="D244" s="4">
        <f>(C244-C224)/C224</f>
        <v>1.4879615636591125E-3</v>
      </c>
      <c r="E244" s="11">
        <f>D244*$E$3</f>
        <v>3.1218428454117655E-4</v>
      </c>
      <c r="F244">
        <f>$F$3*C244</f>
        <v>150701.98583144019</v>
      </c>
      <c r="H244" s="17" t="s">
        <v>77</v>
      </c>
      <c r="I244" s="17">
        <f>I243+I224</f>
        <v>1072.2924367424916</v>
      </c>
    </row>
    <row r="245" spans="1:9" x14ac:dyDescent="0.3">
      <c r="A245">
        <v>2</v>
      </c>
      <c r="B245" t="s">
        <v>7</v>
      </c>
      <c r="C245" s="6">
        <v>18653</v>
      </c>
      <c r="D245" s="4">
        <f>(C245-C225)/C225</f>
        <v>9.4160939444775157E-3</v>
      </c>
      <c r="E245" s="11">
        <f>D245*$E$4</f>
        <v>1.9712172384490625E-3</v>
      </c>
      <c r="F245">
        <f>$F$4*C245</f>
        <v>168791.10452749531</v>
      </c>
    </row>
    <row r="246" spans="1:9" x14ac:dyDescent="0.3">
      <c r="A246">
        <v>3</v>
      </c>
      <c r="B246" t="s">
        <v>9</v>
      </c>
      <c r="C246" s="6">
        <v>7259</v>
      </c>
      <c r="D246" s="4">
        <f t="shared" ref="D246:D258" si="22">(C246-C226)/C226</f>
        <v>1.4485755673587638E-3</v>
      </c>
      <c r="E246" s="11">
        <f>D246*$E$5</f>
        <v>1.3550118775678462E-4</v>
      </c>
      <c r="F246">
        <f>$F$5*C246</f>
        <v>61904.752</v>
      </c>
    </row>
    <row r="247" spans="1:9" x14ac:dyDescent="0.3">
      <c r="A247">
        <v>4</v>
      </c>
      <c r="B247" t="s">
        <v>10</v>
      </c>
      <c r="C247" s="6">
        <v>3682.10009765625</v>
      </c>
      <c r="D247" s="4">
        <f t="shared" si="22"/>
        <v>-2.6980565200843121E-2</v>
      </c>
      <c r="E247" s="11">
        <f>D247*$E$6</f>
        <v>-1.5996997852369566E-3</v>
      </c>
      <c r="F247">
        <f>$F$6*C247</f>
        <v>40447.869572753909</v>
      </c>
    </row>
    <row r="248" spans="1:9" x14ac:dyDescent="0.3">
      <c r="A248">
        <v>5</v>
      </c>
      <c r="B248" t="s">
        <v>14</v>
      </c>
      <c r="C248" s="6">
        <v>774.54998779296795</v>
      </c>
      <c r="D248" s="4">
        <f>(C248-C228)/C228</f>
        <v>-1.1927588123348916E-2</v>
      </c>
      <c r="E248" s="11">
        <f>D248*$E$7</f>
        <v>-3.6836298617615583E-4</v>
      </c>
      <c r="F248">
        <f>$F$7*C248</f>
        <v>19732.431659347458</v>
      </c>
    </row>
    <row r="249" spans="1:9" x14ac:dyDescent="0.3">
      <c r="A249">
        <v>6</v>
      </c>
      <c r="B249" t="s">
        <v>19</v>
      </c>
      <c r="C249" s="6">
        <v>1094.69995117187</v>
      </c>
      <c r="D249" s="4">
        <f t="shared" si="22"/>
        <v>-2.5512973377038745E-3</v>
      </c>
      <c r="E249" s="11">
        <f>D249*$E$8</f>
        <v>-5.9438039585598189E-5</v>
      </c>
      <c r="F249">
        <f>$F$8*C249</f>
        <v>14524.504736171799</v>
      </c>
    </row>
    <row r="250" spans="1:9" x14ac:dyDescent="0.3">
      <c r="A250">
        <v>7</v>
      </c>
      <c r="B250" t="s">
        <v>20</v>
      </c>
      <c r="C250" s="6">
        <v>1368</v>
      </c>
      <c r="D250" s="4">
        <f t="shared" si="22"/>
        <v>-1.678500143152588E-3</v>
      </c>
      <c r="E250" s="11">
        <f>D250*$E$9</f>
        <v>-3.84792321870431E-5</v>
      </c>
      <c r="F250">
        <f>$F$9*C250</f>
        <v>15574.452984075013</v>
      </c>
    </row>
    <row r="251" spans="1:9" x14ac:dyDescent="0.3">
      <c r="A251">
        <v>8</v>
      </c>
      <c r="B251" t="s">
        <v>8</v>
      </c>
      <c r="C251" s="6">
        <v>2736.80004882812</v>
      </c>
      <c r="D251" s="4">
        <f t="shared" si="22"/>
        <v>-4.691385450347885E-3</v>
      </c>
      <c r="E251" s="11">
        <f>D251*$E$10</f>
        <v>-5.2482991561866984E-4</v>
      </c>
      <c r="F251">
        <f>$F$10*C251</f>
        <v>81125.551438651746</v>
      </c>
    </row>
    <row r="252" spans="1:9" x14ac:dyDescent="0.3">
      <c r="A252">
        <v>9</v>
      </c>
      <c r="B252" t="s">
        <v>11</v>
      </c>
      <c r="C252" s="6">
        <v>7244.5</v>
      </c>
      <c r="D252" s="4">
        <f t="shared" si="22"/>
        <v>-2.0484045429962142E-2</v>
      </c>
      <c r="E252" s="11">
        <f>D252*$E$11</f>
        <v>-1.0730922024531108E-3</v>
      </c>
      <c r="F252" s="18">
        <f>$F$11*C252</f>
        <v>37131.116002052491</v>
      </c>
    </row>
    <row r="253" spans="1:9" x14ac:dyDescent="0.3">
      <c r="A253">
        <v>10</v>
      </c>
      <c r="B253" t="s">
        <v>12</v>
      </c>
      <c r="C253" s="6">
        <v>607.20001220703102</v>
      </c>
      <c r="D253" s="4">
        <f t="shared" si="22"/>
        <v>1.3192410302786033E-3</v>
      </c>
      <c r="E253" s="11">
        <f>D253*$E$12</f>
        <v>6.0616356927951933E-5</v>
      </c>
      <c r="F253">
        <f>$F$12*C253</f>
        <v>30635.770824040381</v>
      </c>
    </row>
    <row r="254" spans="1:9" x14ac:dyDescent="0.3">
      <c r="A254">
        <v>11</v>
      </c>
      <c r="B254" t="s">
        <v>13</v>
      </c>
      <c r="C254" s="6">
        <v>1714.80004882812</v>
      </c>
      <c r="D254" s="4">
        <f t="shared" si="22"/>
        <v>-7.121722501117614E-3</v>
      </c>
      <c r="E254" s="11">
        <f>D254*$E$13</f>
        <v>-2.5281090199200161E-4</v>
      </c>
      <c r="F254">
        <f>$F$13*C254</f>
        <v>23388.682010906519</v>
      </c>
    </row>
    <row r="255" spans="1:9" x14ac:dyDescent="0.3">
      <c r="A255">
        <v>12</v>
      </c>
      <c r="B255" t="s">
        <v>15</v>
      </c>
      <c r="C255" s="6">
        <v>7002.5</v>
      </c>
      <c r="D255" s="4">
        <f t="shared" si="22"/>
        <v>-2.2086064405813623E-3</v>
      </c>
      <c r="E255" s="11">
        <f>D255*$E$14</f>
        <v>-6.6427961484185786E-5</v>
      </c>
      <c r="F255">
        <f>$F$14*C255</f>
        <v>20616.592563256323</v>
      </c>
    </row>
    <row r="256" spans="1:9" x14ac:dyDescent="0.3">
      <c r="A256">
        <v>13</v>
      </c>
      <c r="B256" t="s">
        <v>16</v>
      </c>
      <c r="C256" s="6">
        <v>500.75</v>
      </c>
      <c r="D256" s="4">
        <f t="shared" si="22"/>
        <v>1.9857433808553971E-2</v>
      </c>
      <c r="E256" s="11">
        <f>D256*$E$15</f>
        <v>5.4755031769094771E-4</v>
      </c>
      <c r="F256">
        <f>$F$15*C256</f>
        <v>18156.91872413793</v>
      </c>
    </row>
    <row r="257" spans="1:9" x14ac:dyDescent="0.3">
      <c r="A257">
        <v>14</v>
      </c>
      <c r="B257" t="s">
        <v>17</v>
      </c>
      <c r="C257" s="6">
        <v>1448.30004882812</v>
      </c>
      <c r="D257" s="4">
        <f t="shared" si="22"/>
        <v>-2.760422152472045E-4</v>
      </c>
      <c r="E257" s="11">
        <f>D257*$E$16</f>
        <v>-6.6067063619255109E-6</v>
      </c>
      <c r="F257">
        <f>$F$16*C257</f>
        <v>18283.023886105078</v>
      </c>
    </row>
    <row r="258" spans="1:9" x14ac:dyDescent="0.3">
      <c r="A258">
        <v>15</v>
      </c>
      <c r="B258" t="s">
        <v>18</v>
      </c>
      <c r="C258" s="6">
        <v>3430.19995117187</v>
      </c>
      <c r="D258" s="4">
        <f t="shared" si="22"/>
        <v>-1.752877151964086E-2</v>
      </c>
      <c r="E258" s="11">
        <f>D258*$E$17</f>
        <v>-4.1406363447914505E-4</v>
      </c>
      <c r="F258">
        <f>$F$17*C258</f>
        <v>14847.84262891996</v>
      </c>
    </row>
    <row r="259" spans="1:9" x14ac:dyDescent="0.3">
      <c r="E259" s="16">
        <f>SUM(E244:E258)</f>
        <v>-1.3767419802088688E-3</v>
      </c>
      <c r="F259">
        <f>SUM(F244:F258)</f>
        <v>715862.599389354</v>
      </c>
    </row>
    <row r="262" spans="1:9" x14ac:dyDescent="0.3">
      <c r="B262" s="15">
        <v>46171</v>
      </c>
      <c r="C262" s="1"/>
    </row>
    <row r="263" spans="1:9" ht="15.6" x14ac:dyDescent="0.3">
      <c r="A263" s="1" t="s">
        <v>1</v>
      </c>
      <c r="B263" s="1" t="s">
        <v>2</v>
      </c>
      <c r="C263" s="1" t="s">
        <v>68</v>
      </c>
      <c r="D263" s="1" t="s">
        <v>69</v>
      </c>
      <c r="E263" s="1" t="s">
        <v>70</v>
      </c>
      <c r="F263" s="1" t="s">
        <v>78</v>
      </c>
      <c r="H263" s="17" t="s">
        <v>76</v>
      </c>
      <c r="I263" s="17">
        <f>I244*E279</f>
        <v>-13.905266910195561</v>
      </c>
    </row>
    <row r="264" spans="1:9" ht="15.6" x14ac:dyDescent="0.3">
      <c r="A264">
        <v>1</v>
      </c>
      <c r="B264" t="s">
        <v>6</v>
      </c>
      <c r="C264" s="6">
        <v>1482.80004882812</v>
      </c>
      <c r="D264" s="4">
        <f>(C264-C244)/C244</f>
        <v>1.418314125416105E-3</v>
      </c>
      <c r="E264" s="11">
        <f>D264*$E$3</f>
        <v>2.9757178633621598E-4</v>
      </c>
      <c r="F264">
        <f>$F$3*C264</f>
        <v>150915.72858667318</v>
      </c>
      <c r="H264" s="17" t="s">
        <v>77</v>
      </c>
      <c r="I264" s="17">
        <f>I263+I244</f>
        <v>1058.3871698322962</v>
      </c>
    </row>
    <row r="265" spans="1:9" x14ac:dyDescent="0.3">
      <c r="A265">
        <v>2</v>
      </c>
      <c r="B265" t="s">
        <v>7</v>
      </c>
      <c r="C265" s="6">
        <v>18247</v>
      </c>
      <c r="D265" s="4">
        <f>(C265-C245)/C245</f>
        <v>-2.1765935774406261E-2</v>
      </c>
      <c r="E265" s="11">
        <f>D265*$E$4</f>
        <v>-4.5566015019049937E-3</v>
      </c>
      <c r="F265">
        <f>$F$4*C265</f>
        <v>165117.20818705874</v>
      </c>
    </row>
    <row r="266" spans="1:9" x14ac:dyDescent="0.3">
      <c r="A266">
        <v>3</v>
      </c>
      <c r="B266" t="s">
        <v>9</v>
      </c>
      <c r="C266" s="6">
        <v>7204.5</v>
      </c>
      <c r="D266" s="4">
        <f t="shared" ref="D266:D278" si="23">(C266-C246)/C246</f>
        <v>-7.5079212012673924E-3</v>
      </c>
      <c r="E266" s="11">
        <f>D266*$E$5</f>
        <v>-7.0229835659247838E-4</v>
      </c>
      <c r="F266">
        <f>$F$5*C266</f>
        <v>61439.976000000002</v>
      </c>
    </row>
    <row r="267" spans="1:9" x14ac:dyDescent="0.3">
      <c r="A267">
        <v>4</v>
      </c>
      <c r="B267" t="s">
        <v>10</v>
      </c>
      <c r="C267" s="6">
        <v>3629</v>
      </c>
      <c r="D267" s="4">
        <f>(C267-C247)/C247</f>
        <v>-1.4421144522944816E-2</v>
      </c>
      <c r="E267" s="11">
        <f>D267*$E$6</f>
        <v>-8.5504145760093389E-4</v>
      </c>
      <c r="F267">
        <f>$F$6*C267</f>
        <v>39864.565000000002</v>
      </c>
    </row>
    <row r="268" spans="1:9" x14ac:dyDescent="0.3">
      <c r="A268">
        <v>5</v>
      </c>
      <c r="B268" t="s">
        <v>14</v>
      </c>
      <c r="C268" s="6">
        <v>758</v>
      </c>
      <c r="D268" s="4">
        <f>(C268-C248)/C248</f>
        <v>-2.1367230073976395E-2</v>
      </c>
      <c r="E268" s="11">
        <f>D268*$E$7</f>
        <v>-6.5989004608192257E-4</v>
      </c>
      <c r="F268">
        <f>$F$7*C268</f>
        <v>19310.804252163165</v>
      </c>
    </row>
    <row r="269" spans="1:9" x14ac:dyDescent="0.3">
      <c r="A269">
        <v>6</v>
      </c>
      <c r="B269" t="s">
        <v>19</v>
      </c>
      <c r="C269" s="6">
        <v>1098</v>
      </c>
      <c r="D269" s="4">
        <f t="shared" si="23"/>
        <v>3.0145692658498056E-3</v>
      </c>
      <c r="E269" s="11">
        <f>D269*$E$8</f>
        <v>7.0230970224100791E-5</v>
      </c>
      <c r="F269">
        <f>$F$8*C269</f>
        <v>14568.289861751151</v>
      </c>
    </row>
    <row r="270" spans="1:9" x14ac:dyDescent="0.3">
      <c r="A270">
        <v>7</v>
      </c>
      <c r="B270" t="s">
        <v>20</v>
      </c>
      <c r="C270" s="6">
        <v>1293.90002441406</v>
      </c>
      <c r="D270" s="4">
        <f t="shared" si="23"/>
        <v>-5.4166648820131579E-2</v>
      </c>
      <c r="E270" s="11">
        <f>D270*$E$9</f>
        <v>-1.2417580452683881E-3</v>
      </c>
      <c r="F270">
        <f>$F$9*C270</f>
        <v>14730.837058720972</v>
      </c>
    </row>
    <row r="271" spans="1:9" x14ac:dyDescent="0.3">
      <c r="A271">
        <v>8</v>
      </c>
      <c r="B271" t="s">
        <v>8</v>
      </c>
      <c r="C271" s="6">
        <v>2715.80004882812</v>
      </c>
      <c r="D271" s="4">
        <f t="shared" si="23"/>
        <v>-7.6731948353304302E-3</v>
      </c>
      <c r="E271" s="11">
        <f>D271*$E$10</f>
        <v>-8.5840787131516894E-4</v>
      </c>
      <c r="F271">
        <f>$F$10*C271</f>
        <v>80503.059276339351</v>
      </c>
    </row>
    <row r="272" spans="1:9" x14ac:dyDescent="0.3">
      <c r="A272">
        <v>9</v>
      </c>
      <c r="B272" t="s">
        <v>11</v>
      </c>
      <c r="C272" s="6">
        <v>7129</v>
      </c>
      <c r="D272" s="4">
        <f t="shared" si="23"/>
        <v>-1.5943129270481055E-2</v>
      </c>
      <c r="E272" s="11">
        <f>D272*$E$11</f>
        <v>-8.3520844363245438E-4</v>
      </c>
      <c r="F272" s="18">
        <f>$F$11*C272</f>
        <v>36539.129819674541</v>
      </c>
    </row>
    <row r="273" spans="1:9" x14ac:dyDescent="0.3">
      <c r="A273">
        <v>10</v>
      </c>
      <c r="B273" t="s">
        <v>12</v>
      </c>
      <c r="C273" s="6">
        <v>606.45001220703102</v>
      </c>
      <c r="D273" s="4">
        <f t="shared" si="23"/>
        <v>-1.2351778407808725E-3</v>
      </c>
      <c r="E273" s="11">
        <f>D273*$E$12</f>
        <v>-5.6753829776245324E-5</v>
      </c>
      <c r="F273">
        <f>$F$12*C273</f>
        <v>30597.930198783284</v>
      </c>
    </row>
    <row r="274" spans="1:9" x14ac:dyDescent="0.3">
      <c r="A274">
        <v>11</v>
      </c>
      <c r="B274" t="s">
        <v>13</v>
      </c>
      <c r="C274" s="6">
        <v>1682</v>
      </c>
      <c r="D274" s="4">
        <f t="shared" si="23"/>
        <v>-1.91276229846945E-2</v>
      </c>
      <c r="E274" s="11">
        <f>D274*$E$13</f>
        <v>-6.7900309496258734E-4</v>
      </c>
      <c r="F274">
        <f>$F$13*C274</f>
        <v>22941.31211929299</v>
      </c>
    </row>
    <row r="275" spans="1:9" x14ac:dyDescent="0.3">
      <c r="A275">
        <v>12</v>
      </c>
      <c r="B275" t="s">
        <v>15</v>
      </c>
      <c r="C275" s="6">
        <v>6855.5</v>
      </c>
      <c r="D275" s="4">
        <f t="shared" si="23"/>
        <v>-2.0992502677615137E-2</v>
      </c>
      <c r="E275" s="11">
        <f>D275*$E$14</f>
        <v>-6.3138870452547429E-4</v>
      </c>
      <c r="F275">
        <f>$F$14*C275</f>
        <v>20183.798688668863</v>
      </c>
    </row>
    <row r="276" spans="1:9" x14ac:dyDescent="0.3">
      <c r="A276">
        <v>13</v>
      </c>
      <c r="B276" t="s">
        <v>16</v>
      </c>
      <c r="C276" s="6">
        <v>475</v>
      </c>
      <c r="D276" s="4">
        <f t="shared" si="23"/>
        <v>-5.1422865701447829E-2</v>
      </c>
      <c r="E276" s="11">
        <f>D276*$E$15</f>
        <v>-1.4179378223221218E-3</v>
      </c>
      <c r="F276">
        <f>$F$15*C276</f>
        <v>17223.23793103448</v>
      </c>
    </row>
    <row r="277" spans="1:9" x14ac:dyDescent="0.3">
      <c r="A277">
        <v>14</v>
      </c>
      <c r="B277" t="s">
        <v>17</v>
      </c>
      <c r="C277" s="6">
        <v>1410.09997558593</v>
      </c>
      <c r="D277" s="4">
        <f t="shared" si="23"/>
        <v>-2.6375800562251774E-2</v>
      </c>
      <c r="E277" s="11">
        <f>D277*$E$16</f>
        <v>-6.3127000056659621E-4</v>
      </c>
      <c r="F277">
        <f>$F$16*C277</f>
        <v>17800.794494410286</v>
      </c>
    </row>
    <row r="278" spans="1:9" x14ac:dyDescent="0.3">
      <c r="A278">
        <v>15</v>
      </c>
      <c r="B278" t="s">
        <v>18</v>
      </c>
      <c r="C278" s="6">
        <v>3399.69995117187</v>
      </c>
      <c r="D278" s="4">
        <f t="shared" si="23"/>
        <v>-8.8916099452395446E-3</v>
      </c>
      <c r="E278" s="11">
        <f>D278*$E$17</f>
        <v>-2.1003709964337709E-4</v>
      </c>
      <c r="F278">
        <f>$F$17*C278</f>
        <v>14715.821403735303</v>
      </c>
    </row>
    <row r="279" spans="1:9" x14ac:dyDescent="0.3">
      <c r="E279" s="16">
        <f>SUM(E264:E278)</f>
        <v>-1.2967793517632425E-2</v>
      </c>
      <c r="F279">
        <f>SUM(F264:F278)</f>
        <v>706452.49287830642</v>
      </c>
    </row>
    <row r="282" spans="1:9" x14ac:dyDescent="0.3">
      <c r="B282" s="15">
        <v>46174</v>
      </c>
      <c r="C282" s="1"/>
    </row>
    <row r="283" spans="1:9" ht="15.6" x14ac:dyDescent="0.3">
      <c r="A283" s="1" t="s">
        <v>1</v>
      </c>
      <c r="B283" s="1" t="s">
        <v>2</v>
      </c>
      <c r="C283" s="1" t="s">
        <v>68</v>
      </c>
      <c r="D283" s="1" t="s">
        <v>69</v>
      </c>
      <c r="E283" s="1" t="s">
        <v>70</v>
      </c>
      <c r="F283" s="1" t="s">
        <v>78</v>
      </c>
      <c r="H283" s="17" t="s">
        <v>76</v>
      </c>
      <c r="I283" s="17">
        <f>I264*E299</f>
        <v>-12.763876607197071</v>
      </c>
    </row>
    <row r="284" spans="1:9" ht="15.6" x14ac:dyDescent="0.3">
      <c r="A284">
        <v>1</v>
      </c>
      <c r="B284" t="s">
        <v>6</v>
      </c>
      <c r="C284">
        <v>1457.19995117187</v>
      </c>
      <c r="D284" s="4">
        <f>(C284-C264)/C264</f>
        <v>-1.7264699766149964E-2</v>
      </c>
      <c r="E284" s="11">
        <f>D284*$E$3</f>
        <v>-3.622249442424794E-3</v>
      </c>
      <c r="F284">
        <f>$F$3*C284</f>
        <v>148310.21384263449</v>
      </c>
      <c r="H284" s="17" t="s">
        <v>77</v>
      </c>
      <c r="I284" s="17">
        <f>I283+I264</f>
        <v>1045.6232932250991</v>
      </c>
    </row>
    <row r="285" spans="1:9" x14ac:dyDescent="0.3">
      <c r="A285">
        <v>2</v>
      </c>
      <c r="B285" t="s">
        <v>7</v>
      </c>
      <c r="C285">
        <v>18203</v>
      </c>
      <c r="D285" s="4">
        <f>(C285-C265)/C265</f>
        <v>-2.4113552912807586E-3</v>
      </c>
      <c r="E285" s="11">
        <f>D285*$E$4</f>
        <v>-5.0480646712172802E-4</v>
      </c>
      <c r="F285">
        <f>$F$4*C285</f>
        <v>164719.05193341538</v>
      </c>
    </row>
    <row r="286" spans="1:9" x14ac:dyDescent="0.3">
      <c r="A286">
        <v>3</v>
      </c>
      <c r="B286" t="s">
        <v>9</v>
      </c>
      <c r="C286">
        <v>6900</v>
      </c>
      <c r="D286" s="4">
        <f t="shared" ref="D286" si="24">(C286-C266)/C266</f>
        <v>-4.2265250884863624E-2</v>
      </c>
      <c r="E286" s="11">
        <f>D286*$E$5</f>
        <v>-3.9535332672907967E-3</v>
      </c>
      <c r="F286">
        <f>$F$5*C286</f>
        <v>58843.200000000004</v>
      </c>
    </row>
    <row r="287" spans="1:9" x14ac:dyDescent="0.3">
      <c r="A287">
        <v>4</v>
      </c>
      <c r="B287" t="s">
        <v>10</v>
      </c>
      <c r="C287">
        <v>3612</v>
      </c>
      <c r="D287" s="4">
        <f>(C287-C267)/C267</f>
        <v>-4.6844860843207499E-3</v>
      </c>
      <c r="E287" s="11">
        <f>D287*$E$6</f>
        <v>-2.7774701260888492E-4</v>
      </c>
      <c r="F287">
        <f>$F$6*C287</f>
        <v>39677.820000000007</v>
      </c>
    </row>
    <row r="288" spans="1:9" x14ac:dyDescent="0.3">
      <c r="A288">
        <v>5</v>
      </c>
      <c r="B288" t="s">
        <v>14</v>
      </c>
      <c r="C288">
        <v>734</v>
      </c>
      <c r="D288" s="4">
        <f>(C288-C268)/C268</f>
        <v>-3.1662269129287601E-2</v>
      </c>
      <c r="E288" s="11">
        <f>D288*$E$7</f>
        <v>-9.7783457015472521E-4</v>
      </c>
      <c r="F288">
        <f>$F$7*C288</f>
        <v>18699.380370828185</v>
      </c>
    </row>
    <row r="289" spans="1:9" x14ac:dyDescent="0.3">
      <c r="A289">
        <v>6</v>
      </c>
      <c r="B289" t="s">
        <v>19</v>
      </c>
      <c r="C289">
        <v>1115.69995117187</v>
      </c>
      <c r="D289" s="4">
        <f t="shared" ref="D289:D298" si="25">(C289-C269)/C269</f>
        <v>1.6120174109171218E-2</v>
      </c>
      <c r="E289" s="11">
        <f>D289*$E$8</f>
        <v>3.7555463750453116E-4</v>
      </c>
      <c r="F289">
        <f>$F$8*C289</f>
        <v>14803.133230795454</v>
      </c>
    </row>
    <row r="290" spans="1:9" x14ac:dyDescent="0.3">
      <c r="A290">
        <v>7</v>
      </c>
      <c r="B290" t="s">
        <v>20</v>
      </c>
      <c r="C290">
        <v>1328.19995117187</v>
      </c>
      <c r="D290" s="4">
        <f t="shared" si="25"/>
        <v>2.6508946681056484E-2</v>
      </c>
      <c r="E290" s="11">
        <f>D290*$E$9</f>
        <v>6.0771154446162502E-4</v>
      </c>
      <c r="F290">
        <f>$F$9*C290</f>
        <v>15121.336032877936</v>
      </c>
    </row>
    <row r="291" spans="1:9" x14ac:dyDescent="0.3">
      <c r="A291">
        <v>8</v>
      </c>
      <c r="B291" t="s">
        <v>8</v>
      </c>
      <c r="C291">
        <v>2696.19995117187</v>
      </c>
      <c r="D291" s="4">
        <f t="shared" si="25"/>
        <v>-7.2170621193955462E-3</v>
      </c>
      <c r="E291" s="11">
        <f>D291*$E$10</f>
        <v>-8.0737985467729757E-4</v>
      </c>
      <c r="F291">
        <f>$F$10*C291</f>
        <v>79922.063696740632</v>
      </c>
    </row>
    <row r="292" spans="1:9" x14ac:dyDescent="0.3">
      <c r="A292">
        <v>9</v>
      </c>
      <c r="B292" t="s">
        <v>11</v>
      </c>
      <c r="C292">
        <v>6998.5</v>
      </c>
      <c r="D292" s="4">
        <f t="shared" si="25"/>
        <v>-1.8305512694627577E-2</v>
      </c>
      <c r="E292" s="11">
        <f>D292*$E$11</f>
        <v>-9.5896599144320433E-4</v>
      </c>
      <c r="F292" s="18">
        <f>$F$11*C292</f>
        <v>35870.262314909844</v>
      </c>
    </row>
    <row r="293" spans="1:9" x14ac:dyDescent="0.3">
      <c r="A293">
        <v>10</v>
      </c>
      <c r="B293" t="s">
        <v>12</v>
      </c>
      <c r="C293">
        <v>603.40002441406205</v>
      </c>
      <c r="D293" s="4">
        <f t="shared" si="25"/>
        <v>-5.0292484649629571E-3</v>
      </c>
      <c r="E293" s="11">
        <f>D293*$E$12</f>
        <v>-2.3108341314033294E-4</v>
      </c>
      <c r="F293">
        <f>$F$12*C293</f>
        <v>30444.045605300009</v>
      </c>
    </row>
    <row r="294" spans="1:9" x14ac:dyDescent="0.3">
      <c r="A294">
        <v>11</v>
      </c>
      <c r="B294" t="s">
        <v>13</v>
      </c>
      <c r="C294">
        <v>1670.09997558593</v>
      </c>
      <c r="D294" s="4">
        <f t="shared" si="25"/>
        <v>-7.07492533535672E-3</v>
      </c>
      <c r="E294" s="11">
        <f>D294*$E$13</f>
        <v>-2.5114966993966818E-4</v>
      </c>
      <c r="F294">
        <f>$F$13*C294</f>
        <v>22779.004048953881</v>
      </c>
    </row>
    <row r="295" spans="1:9" x14ac:dyDescent="0.3">
      <c r="A295">
        <v>12</v>
      </c>
      <c r="B295" t="s">
        <v>15</v>
      </c>
      <c r="C295">
        <v>6685.5</v>
      </c>
      <c r="D295" s="4">
        <f t="shared" si="25"/>
        <v>-2.4797607760192547E-2</v>
      </c>
      <c r="E295" s="11">
        <f>D295*$E$14</f>
        <v>-7.4583434283584588E-4</v>
      </c>
      <c r="F295">
        <f>$F$14*C295</f>
        <v>19683.288765676563</v>
      </c>
    </row>
    <row r="296" spans="1:9" x14ac:dyDescent="0.3">
      <c r="A296">
        <v>13</v>
      </c>
      <c r="B296" t="s">
        <v>16</v>
      </c>
      <c r="C296">
        <v>470.89999389648398</v>
      </c>
      <c r="D296" s="4">
        <f t="shared" si="25"/>
        <v>-8.6315917968758371E-3</v>
      </c>
      <c r="E296" s="11">
        <f>D296*$E$15</f>
        <v>-2.3800813721066154E-4</v>
      </c>
      <c r="F296">
        <f>$F$15*C296</f>
        <v>17074.573971793321</v>
      </c>
    </row>
    <row r="297" spans="1:9" x14ac:dyDescent="0.3">
      <c r="A297">
        <v>14</v>
      </c>
      <c r="B297" t="s">
        <v>17</v>
      </c>
      <c r="C297">
        <v>1410.59997558593</v>
      </c>
      <c r="D297" s="4">
        <f t="shared" si="25"/>
        <v>3.5458478736037006E-4</v>
      </c>
      <c r="E297" s="11">
        <f>D297*$E$16</f>
        <v>8.4865192390876001E-6</v>
      </c>
      <c r="F297">
        <f>$F$16*C297</f>
        <v>17807.106385340932</v>
      </c>
    </row>
    <row r="298" spans="1:9" x14ac:dyDescent="0.3">
      <c r="A298">
        <v>15</v>
      </c>
      <c r="B298" t="s">
        <v>18</v>
      </c>
      <c r="C298">
        <v>3330.19995117187</v>
      </c>
      <c r="D298" s="4">
        <f t="shared" si="25"/>
        <v>-2.0442980556576319E-2</v>
      </c>
      <c r="E298" s="11">
        <f>D298*$E$17</f>
        <v>-4.8290291303973345E-4</v>
      </c>
      <c r="F298">
        <f>$F$17*C298</f>
        <v>14414.986152904692</v>
      </c>
    </row>
    <row r="299" spans="1:9" x14ac:dyDescent="0.3">
      <c r="E299" s="16">
        <f>SUM(E284:E298)</f>
        <v>-1.2059742380682427E-2</v>
      </c>
      <c r="F299">
        <f>SUM(F284:F298)</f>
        <v>698169.46635217126</v>
      </c>
    </row>
    <row r="302" spans="1:9" x14ac:dyDescent="0.3">
      <c r="B302" s="15">
        <v>46175</v>
      </c>
      <c r="C302" s="1"/>
    </row>
    <row r="303" spans="1:9" ht="15.6" x14ac:dyDescent="0.3">
      <c r="A303" s="1" t="s">
        <v>1</v>
      </c>
      <c r="B303" s="1" t="s">
        <v>2</v>
      </c>
      <c r="C303" s="1" t="s">
        <v>68</v>
      </c>
      <c r="D303" s="1" t="s">
        <v>69</v>
      </c>
      <c r="E303" s="1" t="s">
        <v>70</v>
      </c>
      <c r="F303" s="1" t="s">
        <v>78</v>
      </c>
      <c r="H303" s="17" t="s">
        <v>76</v>
      </c>
      <c r="I303" s="17">
        <f>I284*E319</f>
        <v>5.8289932806527718</v>
      </c>
    </row>
    <row r="304" spans="1:9" ht="15.6" x14ac:dyDescent="0.3">
      <c r="A304">
        <v>1</v>
      </c>
      <c r="B304" t="s">
        <v>6</v>
      </c>
      <c r="C304">
        <v>1454.59997558593</v>
      </c>
      <c r="D304" s="4">
        <f>(C304-C284)/C284</f>
        <v>-1.7842270608430359E-3</v>
      </c>
      <c r="E304" s="11">
        <f>D304*$E$3</f>
        <v>-3.7434276667639663E-4</v>
      </c>
      <c r="F304">
        <f>$F$3*C304</f>
        <v>148045.59474569705</v>
      </c>
      <c r="H304" s="17" t="s">
        <v>77</v>
      </c>
      <c r="I304" s="17">
        <f>I303+I284</f>
        <v>1051.452286505752</v>
      </c>
    </row>
    <row r="305" spans="1:6" x14ac:dyDescent="0.3">
      <c r="A305">
        <v>2</v>
      </c>
      <c r="B305" t="s">
        <v>7</v>
      </c>
      <c r="C305">
        <v>18386</v>
      </c>
      <c r="D305" s="4">
        <f>(C305-C285)/C285</f>
        <v>1.0053287919573696E-2</v>
      </c>
      <c r="E305" s="11">
        <f>D305*$E$4</f>
        <v>2.1046109530139154E-3</v>
      </c>
      <c r="F305">
        <f>$F$4*C305</f>
        <v>166375.0199883412</v>
      </c>
    </row>
    <row r="306" spans="1:6" x14ac:dyDescent="0.3">
      <c r="A306">
        <v>3</v>
      </c>
      <c r="B306" t="s">
        <v>9</v>
      </c>
      <c r="C306">
        <v>6940</v>
      </c>
      <c r="D306" s="4">
        <f t="shared" ref="D306" si="26">(C306-C286)/C286</f>
        <v>5.7971014492753624E-3</v>
      </c>
      <c r="E306" s="11">
        <f>D306*$E$5</f>
        <v>5.4226658907111298E-4</v>
      </c>
      <c r="F306">
        <f>$F$5*C306</f>
        <v>59184.32</v>
      </c>
    </row>
    <row r="307" spans="1:6" x14ac:dyDescent="0.3">
      <c r="A307">
        <v>4</v>
      </c>
      <c r="B307" t="s">
        <v>10</v>
      </c>
      <c r="C307">
        <v>3654.30004882812</v>
      </c>
      <c r="D307" s="4">
        <f>(C307-C287)/C287</f>
        <v>1.1710976973455149E-2</v>
      </c>
      <c r="E307" s="11">
        <f>D307*$E$6</f>
        <v>6.9435340623500807E-4</v>
      </c>
      <c r="F307">
        <f>$F$6*C307</f>
        <v>40142.486036376904</v>
      </c>
    </row>
    <row r="308" spans="1:6" x14ac:dyDescent="0.3">
      <c r="A308">
        <v>5</v>
      </c>
      <c r="B308" t="s">
        <v>14</v>
      </c>
      <c r="C308">
        <v>738.09997558593705</v>
      </c>
      <c r="D308" s="4">
        <f>(C308-C288)/C288</f>
        <v>5.5857978010041493E-3</v>
      </c>
      <c r="E308" s="11">
        <f>D308*$E$7</f>
        <v>1.7250773055503353E-4</v>
      </c>
      <c r="F308">
        <f>$F$7*C308</f>
        <v>18803.831328583696</v>
      </c>
    </row>
    <row r="309" spans="1:6" x14ac:dyDescent="0.3">
      <c r="A309">
        <v>6</v>
      </c>
      <c r="B309" t="s">
        <v>19</v>
      </c>
      <c r="C309">
        <v>1098.69995117187</v>
      </c>
      <c r="D309" s="4">
        <f t="shared" ref="D309:D318" si="27">(C309-C289)/C289</f>
        <v>-1.5237071564038461E-2</v>
      </c>
      <c r="E309" s="11">
        <f>D309*$E$8</f>
        <v>-3.5498083637989104E-4</v>
      </c>
      <c r="F309">
        <f>$F$8*C309</f>
        <v>14577.576830385828</v>
      </c>
    </row>
    <row r="310" spans="1:6" x14ac:dyDescent="0.3">
      <c r="A310">
        <v>7</v>
      </c>
      <c r="B310" t="s">
        <v>20</v>
      </c>
      <c r="C310">
        <v>1324.90002441406</v>
      </c>
      <c r="D310" s="4">
        <f t="shared" si="27"/>
        <v>-2.4845105248637268E-3</v>
      </c>
      <c r="E310" s="11">
        <f>D310*$E$9</f>
        <v>-5.6956835986812742E-5</v>
      </c>
      <c r="F310">
        <f>$F$9*C310</f>
        <v>15083.76691435425</v>
      </c>
    </row>
    <row r="311" spans="1:6" x14ac:dyDescent="0.3">
      <c r="A311">
        <v>8</v>
      </c>
      <c r="B311" t="s">
        <v>8</v>
      </c>
      <c r="C311">
        <v>2745.30004882812</v>
      </c>
      <c r="D311" s="4">
        <f t="shared" si="27"/>
        <v>1.8210851771178635E-2</v>
      </c>
      <c r="E311" s="11">
        <f>D311*$E$10</f>
        <v>2.0372659419197912E-3</v>
      </c>
      <c r="F311">
        <f>$F$10*C311</f>
        <v>81377.51255196867</v>
      </c>
    </row>
    <row r="312" spans="1:6" x14ac:dyDescent="0.3">
      <c r="A312">
        <v>9</v>
      </c>
      <c r="B312" t="s">
        <v>11</v>
      </c>
      <c r="C312">
        <v>7052</v>
      </c>
      <c r="D312" s="4">
        <f t="shared" si="27"/>
        <v>7.6444952489819248E-3</v>
      </c>
      <c r="E312" s="11">
        <f>D312*$E$11</f>
        <v>4.0047012546522728E-4</v>
      </c>
      <c r="F312" s="18">
        <f>$F$11*C312</f>
        <v>36144.4723647559</v>
      </c>
    </row>
    <row r="313" spans="1:6" x14ac:dyDescent="0.3">
      <c r="A313">
        <v>10</v>
      </c>
      <c r="B313" t="s">
        <v>12</v>
      </c>
      <c r="C313">
        <v>607.09997558593705</v>
      </c>
      <c r="D313" s="4">
        <f t="shared" si="27"/>
        <v>6.1318379552070396E-3</v>
      </c>
      <c r="E313" s="11">
        <f>D313*$E$12</f>
        <v>2.8174508644466411E-4</v>
      </c>
      <c r="F313">
        <f>$F$12*C313</f>
        <v>30630.723559652644</v>
      </c>
    </row>
    <row r="314" spans="1:6" x14ac:dyDescent="0.3">
      <c r="A314">
        <v>11</v>
      </c>
      <c r="B314" t="s">
        <v>13</v>
      </c>
      <c r="C314">
        <v>1686.5</v>
      </c>
      <c r="D314" s="4">
        <f t="shared" si="27"/>
        <v>9.8197860330584679E-3</v>
      </c>
      <c r="E314" s="11">
        <f>D314*$E$13</f>
        <v>3.4858827537809613E-4</v>
      </c>
      <c r="F314">
        <f>$F$13*C314</f>
        <v>23002.688994760778</v>
      </c>
    </row>
    <row r="315" spans="1:6" x14ac:dyDescent="0.3">
      <c r="A315">
        <v>12</v>
      </c>
      <c r="B315" t="s">
        <v>15</v>
      </c>
      <c r="C315">
        <v>6641</v>
      </c>
      <c r="D315" s="4">
        <f t="shared" si="27"/>
        <v>-6.6561962456061627E-3</v>
      </c>
      <c r="E315" s="11">
        <f>D315*$E$14</f>
        <v>-2.0019752714201127E-4</v>
      </c>
      <c r="F315">
        <f>$F$14*C315</f>
        <v>19552.272932893287</v>
      </c>
    </row>
    <row r="316" spans="1:6" x14ac:dyDescent="0.3">
      <c r="A316">
        <v>13</v>
      </c>
      <c r="B316" t="s">
        <v>16</v>
      </c>
      <c r="C316">
        <v>469.75</v>
      </c>
      <c r="D316" s="4">
        <f t="shared" si="27"/>
        <v>-2.4421191577606509E-3</v>
      </c>
      <c r="E316" s="11">
        <f>D316*$E$15</f>
        <v>-6.7339170487123903E-5</v>
      </c>
      <c r="F316">
        <f>$F$15*C316</f>
        <v>17032.875827586206</v>
      </c>
    </row>
    <row r="317" spans="1:6" x14ac:dyDescent="0.3">
      <c r="A317">
        <v>14</v>
      </c>
      <c r="B317" t="s">
        <v>17</v>
      </c>
      <c r="C317">
        <v>1405.69995117187</v>
      </c>
      <c r="D317" s="4">
        <f t="shared" si="27"/>
        <v>-3.473716502812673E-3</v>
      </c>
      <c r="E317" s="11">
        <f>D317*$E$16</f>
        <v>-8.3138823161905991E-5</v>
      </c>
      <c r="F317">
        <f>$F$16*C317</f>
        <v>17745.249546022835</v>
      </c>
    </row>
    <row r="318" spans="1:6" x14ac:dyDescent="0.3">
      <c r="A318">
        <v>15</v>
      </c>
      <c r="B318" t="s">
        <v>18</v>
      </c>
      <c r="C318">
        <v>3348.5</v>
      </c>
      <c r="D318" s="4">
        <f t="shared" si="27"/>
        <v>5.495180198321235E-3</v>
      </c>
      <c r="E318" s="11">
        <f>D318*$E$17</f>
        <v>1.2980683115671864E-4</v>
      </c>
      <c r="F318">
        <f>$F$17*C318</f>
        <v>14494.199099371208</v>
      </c>
    </row>
    <row r="319" spans="1:6" x14ac:dyDescent="0.3">
      <c r="E319" s="16">
        <f>SUM(E304:E318)</f>
        <v>5.5746589794054262E-3</v>
      </c>
      <c r="F319">
        <f>SUM(F304:F318)</f>
        <v>702192.59072075039</v>
      </c>
    </row>
    <row r="322" spans="1:9" x14ac:dyDescent="0.3">
      <c r="B322" s="15">
        <v>46176</v>
      </c>
      <c r="C322" s="1"/>
    </row>
    <row r="323" spans="1:9" ht="15.6" x14ac:dyDescent="0.3">
      <c r="A323" s="1" t="s">
        <v>1</v>
      </c>
      <c r="B323" s="1" t="s">
        <v>2</v>
      </c>
      <c r="C323" s="1" t="s">
        <v>68</v>
      </c>
      <c r="D323" s="1" t="s">
        <v>69</v>
      </c>
      <c r="E323" s="1" t="s">
        <v>70</v>
      </c>
      <c r="F323" s="1" t="s">
        <v>78</v>
      </c>
      <c r="H323" s="17" t="s">
        <v>76</v>
      </c>
      <c r="I323" s="17">
        <f>I304*E339</f>
        <v>4.3687563326541881</v>
      </c>
    </row>
    <row r="324" spans="1:9" ht="15.6" x14ac:dyDescent="0.3">
      <c r="A324">
        <v>1</v>
      </c>
      <c r="B324" t="s">
        <v>6</v>
      </c>
      <c r="C324">
        <v>1469.19995117187</v>
      </c>
      <c r="D324" s="4">
        <f>(C324-C304)/C304</f>
        <v>1.00371069922911E-2</v>
      </c>
      <c r="E324" s="11">
        <f>D324*$E$3</f>
        <v>2.1058521549078778E-3</v>
      </c>
      <c r="F324">
        <f>$F$3*C324</f>
        <v>149531.54421989698</v>
      </c>
      <c r="H324" s="17" t="s">
        <v>77</v>
      </c>
      <c r="I324" s="17">
        <f>I323+I304</f>
        <v>1055.8210428384061</v>
      </c>
    </row>
    <row r="325" spans="1:9" x14ac:dyDescent="0.3">
      <c r="A325">
        <v>2</v>
      </c>
      <c r="B325" t="s">
        <v>7</v>
      </c>
      <c r="C325">
        <v>18577</v>
      </c>
      <c r="D325" s="4">
        <f>(C325-C305)/C305</f>
        <v>1.0388338953551615E-2</v>
      </c>
      <c r="E325" s="11">
        <f>D325*$E$4</f>
        <v>2.1747523914736294E-3</v>
      </c>
      <c r="F325">
        <f>$F$4*C325</f>
        <v>168103.38008938404</v>
      </c>
    </row>
    <row r="326" spans="1:9" x14ac:dyDescent="0.3">
      <c r="A326">
        <v>3</v>
      </c>
      <c r="B326" t="s">
        <v>9</v>
      </c>
      <c r="C326">
        <v>7110.5</v>
      </c>
      <c r="D326" s="4">
        <f t="shared" ref="D326" si="28">(C326-C306)/C306</f>
        <v>2.4567723342939482E-2</v>
      </c>
      <c r="E326" s="11">
        <f>D326*$E$5</f>
        <v>2.2980890803772002E-3</v>
      </c>
      <c r="F326">
        <f>$F$5*C326</f>
        <v>60638.344000000005</v>
      </c>
    </row>
    <row r="327" spans="1:9" x14ac:dyDescent="0.3">
      <c r="A327">
        <v>4</v>
      </c>
      <c r="B327" t="s">
        <v>10</v>
      </c>
      <c r="C327">
        <v>3642.89990234375</v>
      </c>
      <c r="D327" s="4">
        <f>(C327-C307)/C307</f>
        <v>-3.1196525550839364E-3</v>
      </c>
      <c r="E327" s="11">
        <f>D327*$E$6</f>
        <v>-1.8496675237276894E-4</v>
      </c>
      <c r="F327">
        <f>$F$6*C327</f>
        <v>40017.255427246098</v>
      </c>
    </row>
    <row r="328" spans="1:9" x14ac:dyDescent="0.3">
      <c r="A328">
        <v>5</v>
      </c>
      <c r="B328" t="s">
        <v>14</v>
      </c>
      <c r="C328">
        <v>708.85144042968705</v>
      </c>
      <c r="D328" s="4">
        <f>(C328-C308)/C308</f>
        <v>-3.9626793285057617E-2</v>
      </c>
      <c r="E328" s="11">
        <f>D328*$E$7</f>
        <v>-1.223805161287766E-3</v>
      </c>
      <c r="F328">
        <f>$F$7*C328</f>
        <v>18058.695791558821</v>
      </c>
    </row>
    <row r="329" spans="1:9" x14ac:dyDescent="0.3">
      <c r="A329">
        <v>6</v>
      </c>
      <c r="B329" t="s">
        <v>19</v>
      </c>
      <c r="C329">
        <v>1139.40002441406</v>
      </c>
      <c r="D329" s="4">
        <f t="shared" ref="D329:D338" si="29">(C329-C309)/C309</f>
        <v>3.7043847320443975E-2</v>
      </c>
      <c r="E329" s="11">
        <f>D329*$E$8</f>
        <v>8.6301727003603606E-4</v>
      </c>
      <c r="F329">
        <f>$F$8*C329</f>
        <v>15117.586360792682</v>
      </c>
    </row>
    <row r="330" spans="1:9" x14ac:dyDescent="0.3">
      <c r="A330">
        <v>7</v>
      </c>
      <c r="B330" t="s">
        <v>20</v>
      </c>
      <c r="C330">
        <v>1327.19995117187</v>
      </c>
      <c r="D330" s="4">
        <f t="shared" si="29"/>
        <v>1.7359247606830912E-3</v>
      </c>
      <c r="E330" s="11">
        <f>D330*$E$9</f>
        <v>3.9795678420439402E-5</v>
      </c>
      <c r="F330">
        <f>$F$9*C330</f>
        <v>15109.951198825251</v>
      </c>
    </row>
    <row r="331" spans="1:9" x14ac:dyDescent="0.3">
      <c r="A331">
        <v>8</v>
      </c>
      <c r="B331" t="s">
        <v>8</v>
      </c>
      <c r="C331">
        <v>2718.39990234375</v>
      </c>
      <c r="D331" s="4">
        <f t="shared" si="29"/>
        <v>-9.7986180038326966E-3</v>
      </c>
      <c r="E331" s="11">
        <f>D331*$E$10</f>
        <v>-1.0961810566534772E-3</v>
      </c>
      <c r="F331">
        <f>$F$10*C331</f>
        <v>80580.125392369824</v>
      </c>
    </row>
    <row r="332" spans="1:9" x14ac:dyDescent="0.3">
      <c r="A332">
        <v>9</v>
      </c>
      <c r="B332" t="s">
        <v>11</v>
      </c>
      <c r="C332">
        <v>7027.0458984375</v>
      </c>
      <c r="D332" s="4">
        <f t="shared" si="29"/>
        <v>-3.5385850202070334E-3</v>
      </c>
      <c r="E332" s="11">
        <f>D332*$E$11</f>
        <v>-1.8537490584488362E-4</v>
      </c>
      <c r="F332" s="18">
        <f>$F$11*C332</f>
        <v>36016.57207628269</v>
      </c>
    </row>
    <row r="333" spans="1:9" x14ac:dyDescent="0.3">
      <c r="A333">
        <v>10</v>
      </c>
      <c r="B333" t="s">
        <v>12</v>
      </c>
      <c r="C333">
        <v>602.04998779296795</v>
      </c>
      <c r="D333" s="4">
        <f t="shared" si="29"/>
        <v>-8.3182144556918167E-3</v>
      </c>
      <c r="E333" s="11">
        <f>D333*$E$12</f>
        <v>-3.8220449855397623E-4</v>
      </c>
      <c r="F333">
        <f>$F$12*C333</f>
        <v>30375.930632150441</v>
      </c>
    </row>
    <row r="334" spans="1:9" x14ac:dyDescent="0.3">
      <c r="A334">
        <v>11</v>
      </c>
      <c r="B334" t="s">
        <v>13</v>
      </c>
      <c r="C334">
        <v>1698.90002441406</v>
      </c>
      <c r="D334" s="4">
        <f t="shared" si="29"/>
        <v>7.3525196644292912E-3</v>
      </c>
      <c r="E334" s="11">
        <f>D334*$E$13</f>
        <v>2.610038692165549E-4</v>
      </c>
      <c r="F334">
        <f>$F$13*C334</f>
        <v>23171.816717929509</v>
      </c>
    </row>
    <row r="335" spans="1:9" x14ac:dyDescent="0.3">
      <c r="A335">
        <v>12</v>
      </c>
      <c r="B335" t="s">
        <v>15</v>
      </c>
      <c r="C335">
        <v>6655.5</v>
      </c>
      <c r="D335" s="4">
        <f t="shared" si="29"/>
        <v>2.1834061135371178E-3</v>
      </c>
      <c r="E335" s="11">
        <f>D335*$E$14</f>
        <v>6.5670014607129986E-5</v>
      </c>
      <c r="F335">
        <f>$F$14*C335</f>
        <v>19594.963485148513</v>
      </c>
    </row>
    <row r="336" spans="1:9" x14ac:dyDescent="0.3">
      <c r="A336">
        <v>13</v>
      </c>
      <c r="B336" t="s">
        <v>16</v>
      </c>
      <c r="C336">
        <v>463.79998779296801</v>
      </c>
      <c r="D336" s="4">
        <f t="shared" si="29"/>
        <v>-1.2666337854245853E-2</v>
      </c>
      <c r="E336" s="11">
        <f>D336*$E$15</f>
        <v>-3.4926251714789111E-4</v>
      </c>
      <c r="F336">
        <f>$F$15*C336</f>
        <v>16817.131667724581</v>
      </c>
    </row>
    <row r="337" spans="1:9" x14ac:dyDescent="0.3">
      <c r="A337">
        <v>14</v>
      </c>
      <c r="B337" t="s">
        <v>17</v>
      </c>
      <c r="C337">
        <v>1406.90002441406</v>
      </c>
      <c r="D337" s="4">
        <f t="shared" si="29"/>
        <v>8.5371934543325054E-4</v>
      </c>
      <c r="E337" s="11">
        <f>D337*$E$16</f>
        <v>2.0432646599802486E-5</v>
      </c>
      <c r="F337">
        <f>$F$16*C337</f>
        <v>17760.399008849814</v>
      </c>
    </row>
    <row r="338" spans="1:9" x14ac:dyDescent="0.3">
      <c r="A338">
        <v>15</v>
      </c>
      <c r="B338" t="s">
        <v>18</v>
      </c>
      <c r="C338">
        <v>3312.80004882812</v>
      </c>
      <c r="D338" s="4">
        <f t="shared" si="29"/>
        <v>-1.0661475637413768E-2</v>
      </c>
      <c r="E338" s="11">
        <f>D338*$E$17</f>
        <v>-2.518447654127933E-4</v>
      </c>
      <c r="F338">
        <f>$F$17*C338</f>
        <v>14339.669548789438</v>
      </c>
    </row>
    <row r="339" spans="1:9" x14ac:dyDescent="0.3">
      <c r="E339" s="16">
        <f>SUM(E324:E338)</f>
        <v>4.1549734483651134E-3</v>
      </c>
      <c r="F339">
        <f>SUM(F324:F338)</f>
        <v>705233.36561694881</v>
      </c>
    </row>
    <row r="342" spans="1:9" x14ac:dyDescent="0.3">
      <c r="B342" s="15">
        <v>46177</v>
      </c>
      <c r="C342" s="1"/>
    </row>
    <row r="343" spans="1:9" ht="15.6" x14ac:dyDescent="0.3">
      <c r="A343" s="1" t="s">
        <v>1</v>
      </c>
      <c r="B343" s="1" t="s">
        <v>2</v>
      </c>
      <c r="C343" s="1" t="s">
        <v>68</v>
      </c>
      <c r="D343" s="1" t="s">
        <v>69</v>
      </c>
      <c r="E343" s="1" t="s">
        <v>70</v>
      </c>
      <c r="F343" s="1" t="s">
        <v>78</v>
      </c>
      <c r="H343" s="17" t="s">
        <v>76</v>
      </c>
      <c r="I343" s="17">
        <f>I324*E359</f>
        <v>0.90889458075148244</v>
      </c>
    </row>
    <row r="344" spans="1:9" ht="15.6" x14ac:dyDescent="0.3">
      <c r="A344">
        <v>1</v>
      </c>
      <c r="B344" t="s">
        <v>6</v>
      </c>
      <c r="C344">
        <v>1471.09997558593</v>
      </c>
      <c r="D344" s="4">
        <f>(C344-C324)/C324</f>
        <v>1.2932374606631947E-3</v>
      </c>
      <c r="E344" s="11">
        <f>D344*$E$3</f>
        <v>2.7132986581062003E-4</v>
      </c>
      <c r="F344">
        <f>$F$3*C344</f>
        <v>149724.92401443297</v>
      </c>
      <c r="H344" s="17" t="s">
        <v>77</v>
      </c>
      <c r="I344" s="17">
        <f>I343+I324</f>
        <v>1056.7299374191575</v>
      </c>
    </row>
    <row r="345" spans="1:9" x14ac:dyDescent="0.3">
      <c r="A345">
        <v>2</v>
      </c>
      <c r="B345" t="s">
        <v>7</v>
      </c>
      <c r="C345">
        <v>18293</v>
      </c>
      <c r="D345" s="4">
        <f>(C345-C325)/C325</f>
        <v>-1.5287721375894923E-2</v>
      </c>
      <c r="E345" s="11">
        <f>D345*$E$4</f>
        <v>-3.2004162331498976E-3</v>
      </c>
      <c r="F345">
        <f>$F$4*C345</f>
        <v>165533.46245223135</v>
      </c>
    </row>
    <row r="346" spans="1:9" x14ac:dyDescent="0.3">
      <c r="A346">
        <v>3</v>
      </c>
      <c r="B346" t="s">
        <v>9</v>
      </c>
      <c r="C346">
        <v>7069</v>
      </c>
      <c r="D346" s="4">
        <f t="shared" ref="D346" si="30">(C346-C326)/C326</f>
        <v>-5.8364390689824904E-3</v>
      </c>
      <c r="E346" s="11">
        <f>D346*$E$5</f>
        <v>-5.4594626882959417E-4</v>
      </c>
      <c r="F346">
        <f>$F$5*C346</f>
        <v>60284.432000000001</v>
      </c>
    </row>
    <row r="347" spans="1:9" x14ac:dyDescent="0.3">
      <c r="A347">
        <v>4</v>
      </c>
      <c r="B347" t="s">
        <v>10</v>
      </c>
      <c r="C347">
        <v>3594.19995117187</v>
      </c>
      <c r="D347" s="4">
        <f>(C347-C327)/C327</f>
        <v>-1.336845712959274E-2</v>
      </c>
      <c r="E347" s="11">
        <f>D347*$E$6</f>
        <v>-7.9262676078004058E-4</v>
      </c>
      <c r="F347">
        <f>$F$6*C347</f>
        <v>39482.286463622993</v>
      </c>
    </row>
    <row r="348" spans="1:9" x14ac:dyDescent="0.3">
      <c r="A348">
        <v>5</v>
      </c>
      <c r="B348" t="s">
        <v>14</v>
      </c>
      <c r="C348">
        <v>709.590087890625</v>
      </c>
      <c r="D348" s="4">
        <f>(C348-C328)/C328</f>
        <v>1.0420342243929223E-3</v>
      </c>
      <c r="E348" s="11">
        <f>D348*$E$7</f>
        <v>3.2181429692707931E-5</v>
      </c>
      <c r="F348">
        <f>$F$7*C348</f>
        <v>18077.513570621522</v>
      </c>
    </row>
    <row r="349" spans="1:9" x14ac:dyDescent="0.3">
      <c r="A349">
        <v>6</v>
      </c>
      <c r="B349" t="s">
        <v>19</v>
      </c>
      <c r="C349">
        <v>1143.19995117187</v>
      </c>
      <c r="D349" s="4">
        <f t="shared" ref="D349:D358" si="31">(C349-C329)/C329</f>
        <v>3.3350242903181638E-3</v>
      </c>
      <c r="E349" s="11">
        <f>D349*$E$8</f>
        <v>7.7696669399288383E-5</v>
      </c>
      <c r="F349">
        <f>$F$8*C349</f>
        <v>15168.003878516909</v>
      </c>
    </row>
    <row r="350" spans="1:9" x14ac:dyDescent="0.3">
      <c r="A350">
        <v>7</v>
      </c>
      <c r="B350" t="s">
        <v>20</v>
      </c>
      <c r="C350">
        <v>1348.19995117187</v>
      </c>
      <c r="D350" s="4">
        <f t="shared" si="31"/>
        <v>1.5822785392252126E-2</v>
      </c>
      <c r="E350" s="11">
        <f>D350*$E$9</f>
        <v>3.6273373906937732E-4</v>
      </c>
      <c r="F350">
        <f>$F$9*C350</f>
        <v>15349.032713931665</v>
      </c>
    </row>
    <row r="351" spans="1:9" x14ac:dyDescent="0.3">
      <c r="A351">
        <v>8</v>
      </c>
      <c r="B351" t="s">
        <v>8</v>
      </c>
      <c r="C351">
        <v>2726.60009765625</v>
      </c>
      <c r="D351" s="4">
        <f t="shared" si="31"/>
        <v>3.0165522392161491E-3</v>
      </c>
      <c r="E351" s="11">
        <f>D351*$E$10</f>
        <v>3.3746467305297251E-4</v>
      </c>
      <c r="F351">
        <f>$F$10*C351</f>
        <v>80823.199550058504</v>
      </c>
    </row>
    <row r="352" spans="1:9" x14ac:dyDescent="0.3">
      <c r="A352">
        <v>9</v>
      </c>
      <c r="B352" t="s">
        <v>11</v>
      </c>
      <c r="C352">
        <v>7081.97998046875</v>
      </c>
      <c r="D352" s="4">
        <f t="shared" si="31"/>
        <v>7.8175214485883566E-3</v>
      </c>
      <c r="E352" s="11">
        <f>D352*$E$11</f>
        <v>4.0953440264878462E-4</v>
      </c>
      <c r="F352" s="18">
        <f>$F$11*C352</f>
        <v>36298.132400993658</v>
      </c>
    </row>
    <row r="353" spans="1:9" x14ac:dyDescent="0.3">
      <c r="A353">
        <v>10</v>
      </c>
      <c r="B353" t="s">
        <v>12</v>
      </c>
      <c r="C353">
        <v>642</v>
      </c>
      <c r="D353" s="4">
        <f t="shared" si="31"/>
        <v>6.6356636520305018E-2</v>
      </c>
      <c r="E353" s="11">
        <f>D353*$E$12</f>
        <v>3.0489481994080583E-3</v>
      </c>
      <c r="F353">
        <f>$F$12*C353</f>
        <v>32391.575220074046</v>
      </c>
    </row>
    <row r="354" spans="1:9" x14ac:dyDescent="0.3">
      <c r="A354">
        <v>11</v>
      </c>
      <c r="B354" t="s">
        <v>13</v>
      </c>
      <c r="C354">
        <v>1676.69995117187</v>
      </c>
      <c r="D354" s="4">
        <f t="shared" si="31"/>
        <v>-1.3067321751229398E-2</v>
      </c>
      <c r="E354" s="11">
        <f>D354*$E$13</f>
        <v>-4.6387112078988995E-4</v>
      </c>
      <c r="F354">
        <f>$F$13*C354</f>
        <v>22869.023133315808</v>
      </c>
    </row>
    <row r="355" spans="1:9" x14ac:dyDescent="0.3">
      <c r="A355">
        <v>12</v>
      </c>
      <c r="B355" t="s">
        <v>15</v>
      </c>
      <c r="C355">
        <v>6739</v>
      </c>
      <c r="D355" s="4">
        <f t="shared" si="31"/>
        <v>1.2546014574412141E-2</v>
      </c>
      <c r="E355" s="11">
        <f>D355*$E$14</f>
        <v>3.7734480784621326E-4</v>
      </c>
      <c r="F355">
        <f>$F$14*C355</f>
        <v>19840.802182618259</v>
      </c>
    </row>
    <row r="356" spans="1:9" x14ac:dyDescent="0.3">
      <c r="A356">
        <v>13</v>
      </c>
      <c r="B356" t="s">
        <v>16</v>
      </c>
      <c r="C356">
        <v>460.100006103515</v>
      </c>
      <c r="D356" s="4">
        <f t="shared" si="31"/>
        <v>-7.9775372721756447E-3</v>
      </c>
      <c r="E356" s="11">
        <f>D356*$E$15</f>
        <v>-2.1997319038724461E-4</v>
      </c>
      <c r="F356">
        <f>$F$15*C356</f>
        <v>16682.972373034223</v>
      </c>
    </row>
    <row r="357" spans="1:9" x14ac:dyDescent="0.3">
      <c r="A357">
        <v>14</v>
      </c>
      <c r="B357" t="s">
        <v>17</v>
      </c>
      <c r="C357">
        <v>1420.59997558593</v>
      </c>
      <c r="D357" s="4">
        <f t="shared" si="31"/>
        <v>9.7376863559126732E-3</v>
      </c>
      <c r="E357" s="11">
        <f>D357*$E$16</f>
        <v>2.330586803197125E-4</v>
      </c>
      <c r="F357">
        <f>$F$16*C357</f>
        <v>17933.344203953857</v>
      </c>
    </row>
    <row r="358" spans="1:9" x14ac:dyDescent="0.3">
      <c r="A358">
        <v>15</v>
      </c>
      <c r="B358" t="s">
        <v>18</v>
      </c>
      <c r="C358">
        <v>3443.69995117187</v>
      </c>
      <c r="D358" s="4">
        <f t="shared" si="31"/>
        <v>3.9513372498909169E-2</v>
      </c>
      <c r="E358" s="11">
        <f>D358*$E$17</f>
        <v>9.3338261663655038E-4</v>
      </c>
      <c r="F358">
        <f>$F$17*C358</f>
        <v>14906.278253182019</v>
      </c>
    </row>
    <row r="359" spans="1:9" x14ac:dyDescent="0.3">
      <c r="E359" s="16">
        <f>SUM(E344:E358)</f>
        <v>8.608415099476182E-4</v>
      </c>
      <c r="F359">
        <f>SUM(F344:F358)</f>
        <v>705364.98241058784</v>
      </c>
    </row>
    <row r="362" spans="1:9" x14ac:dyDescent="0.3">
      <c r="B362" s="15">
        <v>46178</v>
      </c>
      <c r="C362" s="1"/>
    </row>
    <row r="363" spans="1:9" ht="15.6" x14ac:dyDescent="0.3">
      <c r="A363" s="1" t="s">
        <v>1</v>
      </c>
      <c r="B363" s="1" t="s">
        <v>2</v>
      </c>
      <c r="C363" s="1" t="s">
        <v>68</v>
      </c>
      <c r="D363" s="1" t="s">
        <v>69</v>
      </c>
      <c r="E363" s="1" t="s">
        <v>70</v>
      </c>
      <c r="F363" s="1" t="s">
        <v>78</v>
      </c>
      <c r="H363" s="17" t="s">
        <v>76</v>
      </c>
      <c r="I363" s="17">
        <f>I344*E379</f>
        <v>2.0848848501977679</v>
      </c>
    </row>
    <row r="364" spans="1:9" ht="15.6" x14ac:dyDescent="0.3">
      <c r="A364">
        <v>1</v>
      </c>
      <c r="B364" t="s">
        <v>6</v>
      </c>
      <c r="C364">
        <v>1476.59997558593</v>
      </c>
      <c r="D364" s="4">
        <f>(C364-C344)/C344</f>
        <v>3.7386989948180673E-3</v>
      </c>
      <c r="E364" s="11">
        <f>D364*$E$3</f>
        <v>7.8440404599018783E-4</v>
      </c>
      <c r="F364">
        <f>$F$3*C364</f>
        <v>150284.70043734496</v>
      </c>
      <c r="H364" s="17" t="s">
        <v>77</v>
      </c>
      <c r="I364" s="17">
        <f>I363+I344</f>
        <v>1058.8148222693553</v>
      </c>
    </row>
    <row r="365" spans="1:9" x14ac:dyDescent="0.3">
      <c r="A365">
        <v>2</v>
      </c>
      <c r="B365" t="s">
        <v>7</v>
      </c>
      <c r="C365">
        <v>18441</v>
      </c>
      <c r="D365" s="4">
        <f>(C365-C345)/C345</f>
        <v>8.090526430875199E-3</v>
      </c>
      <c r="E365" s="11">
        <f>D365*$E$4</f>
        <v>1.6937155961599636E-3</v>
      </c>
      <c r="F365">
        <f>$F$4*C365</f>
        <v>166872.71530539542</v>
      </c>
    </row>
    <row r="366" spans="1:9" x14ac:dyDescent="0.3">
      <c r="A366">
        <v>3</v>
      </c>
      <c r="B366" t="s">
        <v>9</v>
      </c>
      <c r="C366">
        <v>7010.5</v>
      </c>
      <c r="D366" s="4">
        <f t="shared" ref="D366" si="32">(C366-C346)/C346</f>
        <v>-8.2755693874664027E-3</v>
      </c>
      <c r="E366" s="11">
        <f>D366*$E$5</f>
        <v>-7.741049253025702E-4</v>
      </c>
      <c r="F366">
        <f>$F$5*C366</f>
        <v>59785.544000000002</v>
      </c>
    </row>
    <row r="367" spans="1:9" x14ac:dyDescent="0.3">
      <c r="A367">
        <v>4</v>
      </c>
      <c r="B367" t="s">
        <v>10</v>
      </c>
      <c r="C367">
        <v>3558.5</v>
      </c>
      <c r="D367" s="4">
        <f>(C367-C347)/C347</f>
        <v>-9.9326558502206355E-3</v>
      </c>
      <c r="E367" s="11">
        <f>D367*$E$6</f>
        <v>-5.8891529188328585E-4</v>
      </c>
      <c r="F367">
        <f>$F$6*C367</f>
        <v>39090.122500000005</v>
      </c>
    </row>
    <row r="368" spans="1:9" x14ac:dyDescent="0.3">
      <c r="A368">
        <v>5</v>
      </c>
      <c r="B368" t="s">
        <v>14</v>
      </c>
      <c r="C368">
        <v>708.40826416015602</v>
      </c>
      <c r="D368" s="4">
        <f>(C368-C348)/C348</f>
        <v>-1.6655020280541765E-3</v>
      </c>
      <c r="E368" s="11">
        <f>D368*$E$7</f>
        <v>-5.1436157435341145E-5</v>
      </c>
      <c r="F368">
        <f>$F$7*C368</f>
        <v>18047.405435107477</v>
      </c>
    </row>
    <row r="369" spans="1:9" x14ac:dyDescent="0.3">
      <c r="A369">
        <v>6</v>
      </c>
      <c r="B369" t="s">
        <v>19</v>
      </c>
      <c r="C369">
        <v>1138.19995117187</v>
      </c>
      <c r="D369" s="4">
        <f t="shared" ref="D369:D378" si="33">(C369-C349)/C349</f>
        <v>-4.3736880804400016E-3</v>
      </c>
      <c r="E369" s="11">
        <f>D369*$E$8</f>
        <v>-1.0189460923210722E-4</v>
      </c>
      <c r="F369">
        <f>$F$8*C369</f>
        <v>15101.663760749372</v>
      </c>
    </row>
    <row r="370" spans="1:9" x14ac:dyDescent="0.3">
      <c r="A370">
        <v>7</v>
      </c>
      <c r="B370" t="s">
        <v>20</v>
      </c>
      <c r="C370">
        <v>1328.19995117187</v>
      </c>
      <c r="D370" s="4">
        <f t="shared" si="33"/>
        <v>-1.4834594811115208E-2</v>
      </c>
      <c r="E370" s="11">
        <f>D370*$E$9</f>
        <v>-3.4007969583218248E-4</v>
      </c>
      <c r="F370">
        <f>$F$9*C370</f>
        <v>15121.336032877936</v>
      </c>
    </row>
    <row r="371" spans="1:9" x14ac:dyDescent="0.3">
      <c r="A371">
        <v>8</v>
      </c>
      <c r="B371" t="s">
        <v>8</v>
      </c>
      <c r="C371">
        <v>2704.89990234375</v>
      </c>
      <c r="D371" s="4">
        <f t="shared" si="33"/>
        <v>-7.9587011425522967E-3</v>
      </c>
      <c r="E371" s="11">
        <f>D371*$E$10</f>
        <v>-8.9034774338787165E-4</v>
      </c>
      <c r="F371">
        <f>$F$10*C371</f>
        <v>80179.951859454712</v>
      </c>
    </row>
    <row r="372" spans="1:9" x14ac:dyDescent="0.3">
      <c r="A372">
        <v>9</v>
      </c>
      <c r="B372" t="s">
        <v>11</v>
      </c>
      <c r="C372">
        <v>7024.04931640625</v>
      </c>
      <c r="D372" s="4">
        <f t="shared" si="33"/>
        <v>-8.1800095767378348E-3</v>
      </c>
      <c r="E372" s="11">
        <f>D372*$E$11</f>
        <v>-4.2852397114632665E-4</v>
      </c>
      <c r="F372" s="18">
        <f>$F$11*C372</f>
        <v>36001.213330335835</v>
      </c>
    </row>
    <row r="373" spans="1:9" x14ac:dyDescent="0.3">
      <c r="A373">
        <v>10</v>
      </c>
      <c r="B373" t="s">
        <v>12</v>
      </c>
      <c r="C373">
        <v>685.04998779296795</v>
      </c>
      <c r="D373" s="4">
        <f t="shared" si="33"/>
        <v>6.7056055752286528E-2</v>
      </c>
      <c r="E373" s="11">
        <f>D373*$E$12</f>
        <v>3.0810850453937477E-3</v>
      </c>
      <c r="F373">
        <f>$F$12*C373</f>
        <v>34563.626493935713</v>
      </c>
    </row>
    <row r="374" spans="1:9" x14ac:dyDescent="0.3">
      <c r="A374">
        <v>11</v>
      </c>
      <c r="B374" t="s">
        <v>13</v>
      </c>
      <c r="C374">
        <v>1680.09997558593</v>
      </c>
      <c r="D374" s="4">
        <f t="shared" si="33"/>
        <v>2.0278073078511586E-3</v>
      </c>
      <c r="E374" s="11">
        <f>D374*$E$13</f>
        <v>7.1984241801526712E-5</v>
      </c>
      <c r="F374">
        <f>$F$13*C374</f>
        <v>22915.397105548964</v>
      </c>
    </row>
    <row r="375" spans="1:9" x14ac:dyDescent="0.3">
      <c r="A375">
        <v>12</v>
      </c>
      <c r="B375" t="s">
        <v>15</v>
      </c>
      <c r="C375">
        <v>6678.5</v>
      </c>
      <c r="D375" s="4">
        <f t="shared" si="33"/>
        <v>-8.9775931147054455E-3</v>
      </c>
      <c r="E375" s="11">
        <f>D375*$E$14</f>
        <v>-2.7001787130864595E-4</v>
      </c>
      <c r="F375">
        <f>$F$14*C375</f>
        <v>19662.679533553353</v>
      </c>
    </row>
    <row r="376" spans="1:9" x14ac:dyDescent="0.3">
      <c r="A376">
        <v>13</v>
      </c>
      <c r="B376" t="s">
        <v>16</v>
      </c>
      <c r="C376">
        <v>458.04998779296801</v>
      </c>
      <c r="D376" s="4">
        <f t="shared" si="33"/>
        <v>-4.4555928784008056E-3</v>
      </c>
      <c r="E376" s="11">
        <f>D376*$E$15</f>
        <v>-1.2285884065336552E-4</v>
      </c>
      <c r="F376">
        <f>$F$15*C376</f>
        <v>16608.639840138374</v>
      </c>
    </row>
    <row r="377" spans="1:9" x14ac:dyDescent="0.3">
      <c r="A377">
        <v>14</v>
      </c>
      <c r="B377" t="s">
        <v>17</v>
      </c>
      <c r="C377">
        <v>1425.80004882812</v>
      </c>
      <c r="D377" s="4">
        <f t="shared" si="33"/>
        <v>3.6604767925926636E-3</v>
      </c>
      <c r="E377" s="11">
        <f>D377*$E$16</f>
        <v>8.7608684387804152E-5</v>
      </c>
      <c r="F377">
        <f>$F$16*C377</f>
        <v>17998.988794226003</v>
      </c>
    </row>
    <row r="378" spans="1:9" x14ac:dyDescent="0.3">
      <c r="A378">
        <v>15</v>
      </c>
      <c r="B378" t="s">
        <v>18</v>
      </c>
      <c r="C378">
        <v>3417.80004882812</v>
      </c>
      <c r="D378" s="4">
        <f t="shared" si="33"/>
        <v>-7.5209520896082774E-3</v>
      </c>
      <c r="E378" s="11">
        <f>D378*$E$17</f>
        <v>-1.7765949846954983E-4</v>
      </c>
      <c r="F378">
        <f>$F$17*C378</f>
        <v>14794.168848605468</v>
      </c>
    </row>
    <row r="379" spans="1:9" x14ac:dyDescent="0.3">
      <c r="E379" s="16">
        <f>SUM(E364:E378)</f>
        <v>1.9729590090819841E-3</v>
      </c>
      <c r="F379">
        <f>SUM(F364:F378)</f>
        <v>707028.15327727352</v>
      </c>
    </row>
    <row r="382" spans="1:9" x14ac:dyDescent="0.3">
      <c r="B382" s="15">
        <v>46181</v>
      </c>
      <c r="C382" s="1"/>
    </row>
    <row r="383" spans="1:9" ht="15.6" x14ac:dyDescent="0.3">
      <c r="A383" s="1" t="s">
        <v>1</v>
      </c>
      <c r="B383" s="1" t="s">
        <v>2</v>
      </c>
      <c r="C383" s="1" t="s">
        <v>68</v>
      </c>
      <c r="D383" s="1" t="s">
        <v>69</v>
      </c>
      <c r="E383" s="1" t="s">
        <v>70</v>
      </c>
      <c r="F383" s="1" t="s">
        <v>78</v>
      </c>
      <c r="H383" s="17" t="s">
        <v>76</v>
      </c>
      <c r="I383" s="17">
        <f>I364*E399</f>
        <v>-16.650837315653611</v>
      </c>
    </row>
    <row r="384" spans="1:9" ht="15.6" x14ac:dyDescent="0.3">
      <c r="A384">
        <v>1</v>
      </c>
      <c r="B384" t="s">
        <v>6</v>
      </c>
      <c r="C384">
        <v>1459.80004882812</v>
      </c>
      <c r="D384" s="4">
        <f>(C384-C364)/C364</f>
        <v>-1.137743941187837E-2</v>
      </c>
      <c r="E384" s="11">
        <f>D384*$E$3</f>
        <v>-2.3870628579768564E-3</v>
      </c>
      <c r="F384">
        <f>$F$3*C384</f>
        <v>148574.84536358676</v>
      </c>
      <c r="H384" s="17" t="s">
        <v>77</v>
      </c>
      <c r="I384" s="17">
        <f>I383+I364</f>
        <v>1042.1639849537016</v>
      </c>
    </row>
    <row r="385" spans="1:6" x14ac:dyDescent="0.3">
      <c r="A385">
        <v>2</v>
      </c>
      <c r="B385" t="s">
        <v>7</v>
      </c>
      <c r="C385">
        <v>18114</v>
      </c>
      <c r="D385" s="4">
        <f>(C385-C365)/C365</f>
        <v>-1.7732227102651699E-2</v>
      </c>
      <c r="E385" s="11">
        <f>D385*$E$4</f>
        <v>-3.7121625959712374E-3</v>
      </c>
      <c r="F385">
        <f>$F$4*C385</f>
        <v>163913.690420364</v>
      </c>
    </row>
    <row r="386" spans="1:6" x14ac:dyDescent="0.3">
      <c r="A386">
        <v>3</v>
      </c>
      <c r="B386" t="s">
        <v>9</v>
      </c>
      <c r="C386">
        <v>6869.5</v>
      </c>
      <c r="D386" s="4">
        <f t="shared" ref="D386" si="34">(C386-C366)/C366</f>
        <v>-2.0112688110691106E-2</v>
      </c>
      <c r="E386" s="11">
        <f>D386*$E$5</f>
        <v>-1.8813606893491397E-3</v>
      </c>
      <c r="F386">
        <f>$F$5*C386</f>
        <v>58583.096000000005</v>
      </c>
    </row>
    <row r="387" spans="1:6" x14ac:dyDescent="0.3">
      <c r="A387">
        <v>4</v>
      </c>
      <c r="B387" t="s">
        <v>10</v>
      </c>
      <c r="C387">
        <v>3492.60009765625</v>
      </c>
      <c r="D387" s="4">
        <f>(C387-C367)/C367</f>
        <v>-1.8519011477799635E-2</v>
      </c>
      <c r="E387" s="11">
        <f>D387*$E$6</f>
        <v>-1.0980073420741778E-3</v>
      </c>
      <c r="F387">
        <f>$F$6*C387</f>
        <v>38366.212072753908</v>
      </c>
    </row>
    <row r="388" spans="1:6" x14ac:dyDescent="0.3">
      <c r="A388">
        <v>5</v>
      </c>
      <c r="B388" t="s">
        <v>14</v>
      </c>
      <c r="C388">
        <v>707.1279296875</v>
      </c>
      <c r="D388" s="4">
        <f>(C388-C368)/C368</f>
        <v>-1.8073398313243933E-3</v>
      </c>
      <c r="E388" s="11">
        <f>D388*$E$7</f>
        <v>-5.5816573343818503E-5</v>
      </c>
      <c r="F388">
        <f>$F$7*C388</f>
        <v>18014.787640412545</v>
      </c>
    </row>
    <row r="389" spans="1:6" x14ac:dyDescent="0.3">
      <c r="A389">
        <v>6</v>
      </c>
      <c r="B389" t="s">
        <v>19</v>
      </c>
      <c r="C389">
        <v>1136.5</v>
      </c>
      <c r="D389" s="4">
        <f t="shared" ref="D389:D398" si="35">(C389-C369)/C369</f>
        <v>-1.4935435290783126E-3</v>
      </c>
      <c r="E389" s="11">
        <f>D389*$E$8</f>
        <v>-3.4795356108537814E-5</v>
      </c>
      <c r="F389">
        <f>$F$8*C389</f>
        <v>15079.108768561187</v>
      </c>
    </row>
    <row r="390" spans="1:6" x14ac:dyDescent="0.3">
      <c r="A390">
        <v>7</v>
      </c>
      <c r="B390" t="s">
        <v>20</v>
      </c>
      <c r="C390">
        <v>1302</v>
      </c>
      <c r="D390" s="4">
        <f t="shared" si="35"/>
        <v>-1.972590885036082E-2</v>
      </c>
      <c r="E390" s="11">
        <f>D390*$E$9</f>
        <v>-4.5221195234922319E-4</v>
      </c>
      <c r="F390">
        <f>$F$9*C390</f>
        <v>14823.053936597709</v>
      </c>
    </row>
    <row r="391" spans="1:6" x14ac:dyDescent="0.3">
      <c r="A391">
        <v>8</v>
      </c>
      <c r="B391" t="s">
        <v>8</v>
      </c>
      <c r="C391">
        <v>2674.39990234375</v>
      </c>
      <c r="D391" s="4">
        <f t="shared" si="35"/>
        <v>-1.1275833155072492E-2</v>
      </c>
      <c r="E391" s="11">
        <f>D391*$E$10</f>
        <v>-1.2614385720252554E-3</v>
      </c>
      <c r="F391">
        <f>$F$10*C391</f>
        <v>79275.856099905766</v>
      </c>
    </row>
    <row r="392" spans="1:6" x14ac:dyDescent="0.3">
      <c r="A392">
        <v>9</v>
      </c>
      <c r="B392" t="s">
        <v>11</v>
      </c>
      <c r="C392">
        <v>6855.25244140625</v>
      </c>
      <c r="D392" s="4">
        <f t="shared" si="35"/>
        <v>-2.4031277030720281E-2</v>
      </c>
      <c r="E392" s="11">
        <f>D392*$E$11</f>
        <v>-1.2589200743978303E-3</v>
      </c>
      <c r="F392" s="18">
        <f>$F$11*C392</f>
        <v>35136.058199352476</v>
      </c>
    </row>
    <row r="393" spans="1:6" x14ac:dyDescent="0.3">
      <c r="A393">
        <v>10</v>
      </c>
      <c r="B393" t="s">
        <v>12</v>
      </c>
      <c r="C393">
        <v>667.20001220703102</v>
      </c>
      <c r="D393" s="4">
        <f t="shared" si="35"/>
        <v>-2.6056457052782919E-2</v>
      </c>
      <c r="E393" s="11">
        <f>D393*$E$12</f>
        <v>-1.1972395223758202E-3</v>
      </c>
      <c r="F393">
        <f>$F$12*C393</f>
        <v>33663.020844608051</v>
      </c>
    </row>
    <row r="394" spans="1:6" x14ac:dyDescent="0.3">
      <c r="A394">
        <v>11</v>
      </c>
      <c r="B394" t="s">
        <v>13</v>
      </c>
      <c r="C394">
        <v>1664.80004882812</v>
      </c>
      <c r="D394" s="4">
        <f t="shared" si="35"/>
        <v>-9.1065573359550792E-3</v>
      </c>
      <c r="E394" s="11">
        <f>D394*$E$13</f>
        <v>-3.2326968283071856E-4</v>
      </c>
      <c r="F394">
        <f>$F$13*C394</f>
        <v>22706.716727931103</v>
      </c>
    </row>
    <row r="395" spans="1:6" x14ac:dyDescent="0.3">
      <c r="A395">
        <v>12</v>
      </c>
      <c r="B395" t="s">
        <v>15</v>
      </c>
      <c r="C395">
        <v>6592.5</v>
      </c>
      <c r="D395" s="4">
        <f t="shared" si="35"/>
        <v>-1.2877143071048888E-2</v>
      </c>
      <c r="E395" s="11">
        <f>D395*$E$14</f>
        <v>-3.8730411549683854E-4</v>
      </c>
      <c r="F395">
        <f>$F$14*C395</f>
        <v>19409.480396039602</v>
      </c>
    </row>
    <row r="396" spans="1:6" x14ac:dyDescent="0.3">
      <c r="A396">
        <v>13</v>
      </c>
      <c r="B396" t="s">
        <v>16</v>
      </c>
      <c r="C396">
        <v>432.54998779296801</v>
      </c>
      <c r="D396" s="4">
        <f t="shared" si="35"/>
        <v>-5.5670779782938523E-2</v>
      </c>
      <c r="E396" s="11">
        <f>D396*$E$15</f>
        <v>-1.5350701127917058E-3</v>
      </c>
      <c r="F396">
        <f>$F$15*C396</f>
        <v>15684.023909103891</v>
      </c>
    </row>
    <row r="397" spans="1:6" x14ac:dyDescent="0.3">
      <c r="A397">
        <v>14</v>
      </c>
      <c r="B397" t="s">
        <v>17</v>
      </c>
      <c r="C397">
        <v>1451.59997558593</v>
      </c>
      <c r="D397" s="4">
        <f t="shared" si="35"/>
        <v>1.8095052513860711E-2</v>
      </c>
      <c r="E397" s="11">
        <f>D397*$E$16</f>
        <v>4.3308121714513898E-4</v>
      </c>
      <c r="F397">
        <f>$F$16*C397</f>
        <v>18324.681441653913</v>
      </c>
    </row>
    <row r="398" spans="1:6" x14ac:dyDescent="0.3">
      <c r="A398">
        <v>15</v>
      </c>
      <c r="B398" t="s">
        <v>18</v>
      </c>
      <c r="C398">
        <v>3334.69995117187</v>
      </c>
      <c r="D398" s="4">
        <f t="shared" si="35"/>
        <v>-2.4313914351058362E-2</v>
      </c>
      <c r="E398" s="11">
        <f>D398*$E$17</f>
        <v>-5.7434188889582481E-4</v>
      </c>
      <c r="F398">
        <f>$F$17*C398</f>
        <v>14434.464694325379</v>
      </c>
    </row>
    <row r="399" spans="1:6" x14ac:dyDescent="0.3">
      <c r="E399" s="16">
        <f>SUM(E384:E398)</f>
        <v>-1.5725920118841847E-2</v>
      </c>
      <c r="F399">
        <f>SUM(F384:F398)</f>
        <v>695989.09651519626</v>
      </c>
    </row>
    <row r="402" spans="1:9" x14ac:dyDescent="0.3">
      <c r="B402" s="15">
        <v>46182</v>
      </c>
      <c r="C402" s="1"/>
    </row>
    <row r="403" spans="1:9" ht="15.6" x14ac:dyDescent="0.3">
      <c r="A403" s="1" t="s">
        <v>1</v>
      </c>
      <c r="B403" s="1" t="s">
        <v>2</v>
      </c>
      <c r="C403" s="1" t="s">
        <v>68</v>
      </c>
      <c r="D403" s="1" t="s">
        <v>69</v>
      </c>
      <c r="E403" s="1" t="s">
        <v>70</v>
      </c>
      <c r="F403" s="1" t="s">
        <v>78</v>
      </c>
      <c r="H403" s="17" t="s">
        <v>76</v>
      </c>
      <c r="I403" s="17">
        <f>I384*E419</f>
        <v>9.8704000408799999</v>
      </c>
    </row>
    <row r="404" spans="1:9" ht="15.6" x14ac:dyDescent="0.3">
      <c r="A404">
        <v>1</v>
      </c>
      <c r="B404" t="s">
        <v>6</v>
      </c>
      <c r="C404">
        <v>1481.80004882812</v>
      </c>
      <c r="D404" s="4">
        <f>(C404-C384)/C384</f>
        <v>1.5070557106544067E-2</v>
      </c>
      <c r="E404" s="11">
        <f>D404*$E$3</f>
        <v>3.161903642439286E-3</v>
      </c>
      <c r="F404">
        <f>$F$3*C404</f>
        <v>150813.95105523465</v>
      </c>
      <c r="H404" s="17" t="s">
        <v>77</v>
      </c>
      <c r="I404" s="17">
        <f>I403+I384</f>
        <v>1052.0343849945816</v>
      </c>
    </row>
    <row r="405" spans="1:9" x14ac:dyDescent="0.3">
      <c r="A405">
        <v>2</v>
      </c>
      <c r="B405" t="s">
        <v>7</v>
      </c>
      <c r="C405">
        <v>18267</v>
      </c>
      <c r="D405" s="4">
        <f>(C405-C385)/C385</f>
        <v>8.4465054653858895E-3</v>
      </c>
      <c r="E405" s="11">
        <f>D405*$E$4</f>
        <v>1.7682382181188787E-3</v>
      </c>
      <c r="F405">
        <f>$F$4*C405</f>
        <v>165298.18830235119</v>
      </c>
    </row>
    <row r="406" spans="1:9" x14ac:dyDescent="0.3">
      <c r="A406">
        <v>3</v>
      </c>
      <c r="B406" t="s">
        <v>9</v>
      </c>
      <c r="C406">
        <v>6855</v>
      </c>
      <c r="D406" s="4">
        <f t="shared" ref="D406" si="36">(C406-C386)/C386</f>
        <v>-2.1107795327170828E-3</v>
      </c>
      <c r="E406" s="11">
        <f>D406*$E$5</f>
        <v>-1.9744440001661273E-4</v>
      </c>
      <c r="F406">
        <f>$F$5*C406</f>
        <v>58459.44</v>
      </c>
    </row>
    <row r="407" spans="1:9" x14ac:dyDescent="0.3">
      <c r="A407">
        <v>4</v>
      </c>
      <c r="B407" t="s">
        <v>10</v>
      </c>
      <c r="C407">
        <v>3578.80004882812</v>
      </c>
      <c r="D407" s="4">
        <f>(C407-C387)/C387</f>
        <v>2.4680738922762867E-2</v>
      </c>
      <c r="E407" s="11">
        <f>D407*$E$6</f>
        <v>1.4633412035786181E-3</v>
      </c>
      <c r="F407">
        <f>$F$6*C407</f>
        <v>39313.118536376904</v>
      </c>
    </row>
    <row r="408" spans="1:9" x14ac:dyDescent="0.3">
      <c r="A408">
        <v>5</v>
      </c>
      <c r="B408" t="s">
        <v>14</v>
      </c>
      <c r="C408">
        <v>715.45001220703102</v>
      </c>
      <c r="D408" s="4">
        <f>(C408-C388)/C388</f>
        <v>1.1768849977696099E-2</v>
      </c>
      <c r="E408" s="11">
        <f>D408*$E$7</f>
        <v>3.634606323433409E-4</v>
      </c>
      <c r="F408">
        <f>$F$7*C408</f>
        <v>18226.800973532616</v>
      </c>
    </row>
    <row r="409" spans="1:9" x14ac:dyDescent="0.3">
      <c r="A409">
        <v>6</v>
      </c>
      <c r="B409" t="s">
        <v>19</v>
      </c>
      <c r="C409">
        <v>1135</v>
      </c>
      <c r="D409" s="4">
        <f t="shared" ref="D409:D418" si="37">(C409-C389)/C389</f>
        <v>-1.3198416190057193E-3</v>
      </c>
      <c r="E409" s="11">
        <f>D409*$E$8</f>
        <v>-3.0748591015967026E-5</v>
      </c>
      <c r="F409">
        <f>$F$8*C409</f>
        <v>15059.206733230927</v>
      </c>
    </row>
    <row r="410" spans="1:9" x14ac:dyDescent="0.3">
      <c r="A410">
        <v>7</v>
      </c>
      <c r="B410" t="s">
        <v>20</v>
      </c>
      <c r="C410">
        <v>1267.19995117187</v>
      </c>
      <c r="D410" s="4">
        <f t="shared" si="37"/>
        <v>-2.6728148101482337E-2</v>
      </c>
      <c r="E410" s="11">
        <f>D410*$E$9</f>
        <v>-6.1273668692986088E-4</v>
      </c>
      <c r="F410">
        <f>$F$9*C410</f>
        <v>14426.861155664066</v>
      </c>
    </row>
    <row r="411" spans="1:9" x14ac:dyDescent="0.3">
      <c r="A411">
        <v>8</v>
      </c>
      <c r="B411" t="s">
        <v>8</v>
      </c>
      <c r="C411">
        <v>2689.60009765625</v>
      </c>
      <c r="D411" s="4">
        <f t="shared" si="37"/>
        <v>5.6835910363214875E-3</v>
      </c>
      <c r="E411" s="11">
        <f>D411*$E$10</f>
        <v>6.3582893274788139E-4</v>
      </c>
      <c r="F411">
        <f>$F$10*C411</f>
        <v>79726.427645031901</v>
      </c>
    </row>
    <row r="412" spans="1:9" x14ac:dyDescent="0.3">
      <c r="A412">
        <v>9</v>
      </c>
      <c r="B412" t="s">
        <v>11</v>
      </c>
      <c r="C412">
        <v>6820.29443359375</v>
      </c>
      <c r="D412" s="4">
        <f t="shared" si="37"/>
        <v>-5.0994486506946053E-3</v>
      </c>
      <c r="E412" s="11">
        <f>D412*$E$11</f>
        <v>-2.6714345086670369E-4</v>
      </c>
      <c r="F412" s="18">
        <f>$F$11*C412</f>
        <v>34956.883674777062</v>
      </c>
    </row>
    <row r="413" spans="1:9" x14ac:dyDescent="0.3">
      <c r="A413">
        <v>10</v>
      </c>
      <c r="B413" t="s">
        <v>12</v>
      </c>
      <c r="C413">
        <v>679.5</v>
      </c>
      <c r="D413" s="4">
        <f t="shared" si="37"/>
        <v>1.8435233165361983E-2</v>
      </c>
      <c r="E413" s="11">
        <f>D413*$E$12</f>
        <v>8.4706027780655474E-4</v>
      </c>
      <c r="F413">
        <f>$F$12*C413</f>
        <v>34283.606482928837</v>
      </c>
    </row>
    <row r="414" spans="1:9" x14ac:dyDescent="0.3">
      <c r="A414">
        <v>11</v>
      </c>
      <c r="B414" t="s">
        <v>13</v>
      </c>
      <c r="C414">
        <v>1678.30004882812</v>
      </c>
      <c r="D414" s="4">
        <f t="shared" si="37"/>
        <v>8.1090819341955635E-3</v>
      </c>
      <c r="E414" s="11">
        <f>D414*$E$13</f>
        <v>2.8786074124473511E-4</v>
      </c>
      <c r="F414">
        <f>$F$13*C414</f>
        <v>22890.847354334463</v>
      </c>
    </row>
    <row r="415" spans="1:9" x14ac:dyDescent="0.3">
      <c r="A415">
        <v>12</v>
      </c>
      <c r="B415" t="s">
        <v>15</v>
      </c>
      <c r="C415">
        <v>6654</v>
      </c>
      <c r="D415" s="4">
        <f t="shared" si="37"/>
        <v>9.3287827076222983E-3</v>
      </c>
      <c r="E415" s="11">
        <f>D415*$E$14</f>
        <v>2.8058055387774451E-4</v>
      </c>
      <c r="F415">
        <f>$F$14*C415</f>
        <v>19590.547221122109</v>
      </c>
    </row>
    <row r="416" spans="1:9" x14ac:dyDescent="0.3">
      <c r="A416">
        <v>13</v>
      </c>
      <c r="B416" t="s">
        <v>16</v>
      </c>
      <c r="C416">
        <v>440.39999389648398</v>
      </c>
      <c r="D416" s="4">
        <f t="shared" si="37"/>
        <v>1.8148205583289081E-2</v>
      </c>
      <c r="E416" s="11">
        <f>D416*$E$15</f>
        <v>5.004199348442491E-4</v>
      </c>
      <c r="F416">
        <f>$F$15*C416</f>
        <v>15968.66079937953</v>
      </c>
    </row>
    <row r="417" spans="1:6" x14ac:dyDescent="0.3">
      <c r="A417">
        <v>14</v>
      </c>
      <c r="B417" t="s">
        <v>17</v>
      </c>
      <c r="C417">
        <v>1518.59997558593</v>
      </c>
      <c r="D417" s="4">
        <f t="shared" si="37"/>
        <v>4.6155966607092175E-2</v>
      </c>
      <c r="E417" s="11">
        <f>D417*$E$16</f>
        <v>1.1046821876531273E-3</v>
      </c>
      <c r="F417">
        <f>$F$16*C417</f>
        <v>19170.474826360492</v>
      </c>
    </row>
    <row r="418" spans="1:6" x14ac:dyDescent="0.3">
      <c r="A418">
        <v>15</v>
      </c>
      <c r="B418" t="s">
        <v>18</v>
      </c>
      <c r="C418">
        <v>3358.10009765625</v>
      </c>
      <c r="D418" s="4">
        <f t="shared" si="37"/>
        <v>7.0171670096305953E-3</v>
      </c>
      <c r="E418" s="11">
        <f>D418*$E$17</f>
        <v>1.6575911623351052E-4</v>
      </c>
      <c r="F418">
        <f>$F$17*C418</f>
        <v>14535.753743780077</v>
      </c>
    </row>
    <row r="419" spans="1:6" x14ac:dyDescent="0.3">
      <c r="E419" s="16">
        <f>SUM(E404:E418)</f>
        <v>9.4710623120587822E-3</v>
      </c>
      <c r="F419">
        <f>SUM(F404:F418)</f>
        <v>702720.76850410481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4644-2F1B-46EE-B2B0-3C0DE1D1327C}">
  <dimension ref="A2:M42"/>
  <sheetViews>
    <sheetView topLeftCell="A19" zoomScale="122" workbookViewId="0">
      <selection activeCell="D39" sqref="D39"/>
    </sheetView>
  </sheetViews>
  <sheetFormatPr defaultRowHeight="14.4" x14ac:dyDescent="0.3"/>
  <cols>
    <col min="1" max="1" width="7.77734375" bestFit="1" customWidth="1"/>
    <col min="2" max="2" width="14.88671875" bestFit="1" customWidth="1"/>
    <col min="3" max="3" width="9.88671875" bestFit="1" customWidth="1"/>
    <col min="4" max="4" width="15.77734375" bestFit="1" customWidth="1"/>
    <col min="5" max="5" width="12" bestFit="1" customWidth="1"/>
    <col min="6" max="6" width="18.109375" bestFit="1" customWidth="1"/>
    <col min="7" max="8" width="10.44140625" bestFit="1" customWidth="1"/>
    <col min="9" max="10" width="11.21875" bestFit="1" customWidth="1"/>
    <col min="11" max="11" width="14" bestFit="1" customWidth="1"/>
    <col min="12" max="12" width="11.21875" bestFit="1" customWidth="1"/>
  </cols>
  <sheetData>
    <row r="2" spans="1:6" ht="28.8" x14ac:dyDescent="0.55000000000000004">
      <c r="B2" s="2" t="s">
        <v>0</v>
      </c>
      <c r="C2" s="22" t="s">
        <v>39</v>
      </c>
      <c r="D2" s="22"/>
      <c r="E2" s="22"/>
      <c r="F2" s="22"/>
    </row>
    <row r="4" spans="1:6" s="1" customForma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21</v>
      </c>
    </row>
    <row r="5" spans="1:6" x14ac:dyDescent="0.3">
      <c r="A5">
        <v>1</v>
      </c>
      <c r="B5" t="s">
        <v>6</v>
      </c>
      <c r="C5">
        <v>1375.7</v>
      </c>
      <c r="D5">
        <v>140015.35</v>
      </c>
      <c r="E5">
        <v>60.5</v>
      </c>
      <c r="F5" t="str">
        <f t="shared" ref="F5:F19" si="0">IF(E5&gt;$E$20,"Over Valued","Under Valued")</f>
        <v>Over Valued</v>
      </c>
    </row>
    <row r="6" spans="1:6" x14ac:dyDescent="0.3">
      <c r="A6">
        <v>2</v>
      </c>
      <c r="B6" t="s">
        <v>7</v>
      </c>
      <c r="C6">
        <v>15439</v>
      </c>
      <c r="D6">
        <v>139707.6</v>
      </c>
      <c r="E6">
        <v>96.21</v>
      </c>
      <c r="F6" t="str">
        <f t="shared" si="0"/>
        <v>Over Valued</v>
      </c>
    </row>
    <row r="7" spans="1:6" x14ac:dyDescent="0.3">
      <c r="A7">
        <v>3</v>
      </c>
      <c r="B7" t="s">
        <v>9</v>
      </c>
      <c r="C7">
        <v>7320</v>
      </c>
      <c r="D7">
        <v>62424.959999999999</v>
      </c>
      <c r="E7">
        <v>106.97</v>
      </c>
      <c r="F7" t="str">
        <f t="shared" si="0"/>
        <v>Over Valued</v>
      </c>
    </row>
    <row r="8" spans="1:6" x14ac:dyDescent="0.3">
      <c r="A8">
        <v>4</v>
      </c>
      <c r="B8" t="s">
        <v>10</v>
      </c>
      <c r="C8">
        <v>3602</v>
      </c>
      <c r="D8">
        <v>39567.97</v>
      </c>
      <c r="E8">
        <v>59.33</v>
      </c>
      <c r="F8" t="str">
        <f t="shared" si="0"/>
        <v>Over Valued</v>
      </c>
    </row>
    <row r="9" spans="1:6" x14ac:dyDescent="0.3">
      <c r="A9">
        <v>5</v>
      </c>
      <c r="B9" t="s">
        <v>14</v>
      </c>
      <c r="C9">
        <v>809</v>
      </c>
      <c r="D9">
        <v>20610.080000000002</v>
      </c>
      <c r="E9">
        <v>75.760000000000005</v>
      </c>
      <c r="F9" t="str">
        <f t="shared" si="0"/>
        <v>Over Valued</v>
      </c>
    </row>
    <row r="10" spans="1:6" x14ac:dyDescent="0.3">
      <c r="A10">
        <v>6</v>
      </c>
      <c r="B10" t="s">
        <v>19</v>
      </c>
      <c r="C10">
        <v>1171.8</v>
      </c>
      <c r="D10">
        <v>15547.47</v>
      </c>
      <c r="E10">
        <v>69.5</v>
      </c>
      <c r="F10" t="str">
        <f t="shared" si="0"/>
        <v>Over Valued</v>
      </c>
    </row>
    <row r="11" spans="1:6" x14ac:dyDescent="0.3">
      <c r="A11">
        <v>7</v>
      </c>
      <c r="B11" t="s">
        <v>20</v>
      </c>
      <c r="C11">
        <v>1343.8</v>
      </c>
      <c r="D11">
        <v>15298.94</v>
      </c>
      <c r="E11">
        <v>88.93</v>
      </c>
      <c r="F11" t="str">
        <f t="shared" si="0"/>
        <v>Over Valued</v>
      </c>
    </row>
    <row r="12" spans="1:6" x14ac:dyDescent="0.3">
      <c r="A12">
        <v>8</v>
      </c>
      <c r="B12" t="s">
        <v>8</v>
      </c>
      <c r="C12">
        <v>2518.6</v>
      </c>
      <c r="D12">
        <v>74657.56</v>
      </c>
      <c r="E12">
        <v>40.369999999999997</v>
      </c>
      <c r="F12" t="str">
        <f t="shared" si="0"/>
        <v>Under Valued</v>
      </c>
    </row>
    <row r="13" spans="1:6" x14ac:dyDescent="0.3">
      <c r="A13">
        <v>9</v>
      </c>
      <c r="B13" t="s">
        <v>11</v>
      </c>
      <c r="C13">
        <v>6821</v>
      </c>
      <c r="D13">
        <v>34960.5</v>
      </c>
      <c r="E13">
        <v>52.28</v>
      </c>
      <c r="F13" t="str">
        <f t="shared" si="0"/>
        <v>Under Valued</v>
      </c>
    </row>
    <row r="14" spans="1:6" x14ac:dyDescent="0.3">
      <c r="A14">
        <v>10</v>
      </c>
      <c r="B14" t="s">
        <v>12</v>
      </c>
      <c r="C14">
        <v>607.75</v>
      </c>
      <c r="D14">
        <v>30663.52</v>
      </c>
      <c r="E14">
        <v>40.81</v>
      </c>
      <c r="F14" t="str">
        <f t="shared" si="0"/>
        <v>Under Valued</v>
      </c>
    </row>
    <row r="15" spans="1:6" x14ac:dyDescent="0.3">
      <c r="A15">
        <v>11</v>
      </c>
      <c r="B15" t="s">
        <v>13</v>
      </c>
      <c r="C15">
        <v>1736.9</v>
      </c>
      <c r="D15">
        <v>23690.11</v>
      </c>
      <c r="E15">
        <v>43.7</v>
      </c>
      <c r="F15" t="str">
        <f t="shared" si="0"/>
        <v>Under Valued</v>
      </c>
    </row>
    <row r="16" spans="1:6" x14ac:dyDescent="0.3">
      <c r="A16">
        <v>12</v>
      </c>
      <c r="B16" t="s">
        <v>15</v>
      </c>
      <c r="C16">
        <v>6817.5</v>
      </c>
      <c r="D16">
        <v>20071.919999999998</v>
      </c>
      <c r="E16">
        <v>29.61</v>
      </c>
      <c r="F16" t="str">
        <f t="shared" si="0"/>
        <v>Under Valued</v>
      </c>
    </row>
    <row r="17" spans="1:8" x14ac:dyDescent="0.3">
      <c r="A17">
        <v>13</v>
      </c>
      <c r="B17" t="s">
        <v>16</v>
      </c>
      <c r="C17">
        <v>507.5</v>
      </c>
      <c r="D17">
        <v>18401.669999999998</v>
      </c>
      <c r="E17">
        <v>49.6</v>
      </c>
      <c r="F17" t="str">
        <f t="shared" si="0"/>
        <v>Under Valued</v>
      </c>
    </row>
    <row r="18" spans="1:8" x14ac:dyDescent="0.3">
      <c r="A18">
        <v>14</v>
      </c>
      <c r="B18" t="s">
        <v>17</v>
      </c>
      <c r="C18">
        <v>1265.25</v>
      </c>
      <c r="D18">
        <v>15972.24</v>
      </c>
      <c r="E18">
        <v>18.25</v>
      </c>
      <c r="F18" t="str">
        <f t="shared" si="0"/>
        <v>Under Valued</v>
      </c>
    </row>
    <row r="19" spans="1:8" x14ac:dyDescent="0.3">
      <c r="A19">
        <v>15</v>
      </c>
      <c r="B19" t="s">
        <v>18</v>
      </c>
      <c r="C19">
        <v>3641.9</v>
      </c>
      <c r="D19">
        <v>15764.2</v>
      </c>
      <c r="E19">
        <v>40.81</v>
      </c>
      <c r="F19" t="str">
        <f t="shared" si="0"/>
        <v>Under Valued</v>
      </c>
    </row>
    <row r="20" spans="1:8" x14ac:dyDescent="0.3">
      <c r="E20">
        <f>AVERAGE(E5:E19)</f>
        <v>58.175333333333327</v>
      </c>
    </row>
    <row r="22" spans="1:8" x14ac:dyDescent="0.3">
      <c r="B22" s="1" t="s">
        <v>29</v>
      </c>
    </row>
    <row r="23" spans="1:8" s="1" customFormat="1" x14ac:dyDescent="0.3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21</v>
      </c>
      <c r="G23" s="12" t="s">
        <v>30</v>
      </c>
      <c r="H23" s="12" t="s">
        <v>27</v>
      </c>
    </row>
    <row r="24" spans="1:8" x14ac:dyDescent="0.3">
      <c r="A24">
        <v>1</v>
      </c>
      <c r="B24" t="s">
        <v>8</v>
      </c>
      <c r="C24">
        <v>2518.6</v>
      </c>
      <c r="D24">
        <v>74657.56</v>
      </c>
      <c r="E24">
        <v>40.369999999999997</v>
      </c>
      <c r="F24" t="str">
        <f t="shared" ref="F24:F31" si="1">IF(E24&gt;$E$20,"Over Valued","Under Valued")</f>
        <v>Under Valued</v>
      </c>
      <c r="G24">
        <v>-10.5</v>
      </c>
      <c r="H24" t="s">
        <v>71</v>
      </c>
    </row>
    <row r="25" spans="1:8" x14ac:dyDescent="0.3">
      <c r="A25">
        <v>2</v>
      </c>
      <c r="B25" t="s">
        <v>11</v>
      </c>
      <c r="C25">
        <v>6821</v>
      </c>
      <c r="D25">
        <v>34960.5</v>
      </c>
      <c r="E25">
        <v>52.28</v>
      </c>
      <c r="F25" t="str">
        <f t="shared" si="1"/>
        <v>Under Valued</v>
      </c>
      <c r="G25" s="13">
        <v>2.58</v>
      </c>
      <c r="H25" t="s">
        <v>71</v>
      </c>
    </row>
    <row r="26" spans="1:8" x14ac:dyDescent="0.3">
      <c r="A26">
        <v>3</v>
      </c>
      <c r="B26" t="s">
        <v>12</v>
      </c>
      <c r="C26">
        <v>607.75</v>
      </c>
      <c r="D26">
        <v>30663.52</v>
      </c>
      <c r="E26">
        <v>40.81</v>
      </c>
      <c r="F26" t="str">
        <f t="shared" si="1"/>
        <v>Under Valued</v>
      </c>
      <c r="G26" s="13">
        <v>0.88</v>
      </c>
      <c r="H26" t="s">
        <v>72</v>
      </c>
    </row>
    <row r="27" spans="1:8" x14ac:dyDescent="0.3">
      <c r="A27">
        <v>4</v>
      </c>
      <c r="B27" t="s">
        <v>13</v>
      </c>
      <c r="C27">
        <v>1736.9</v>
      </c>
      <c r="D27">
        <v>23690.11</v>
      </c>
      <c r="E27">
        <v>43.7</v>
      </c>
      <c r="F27" t="str">
        <f t="shared" si="1"/>
        <v>Under Valued</v>
      </c>
      <c r="G27" s="13">
        <v>-3.33</v>
      </c>
      <c r="H27" t="s">
        <v>71</v>
      </c>
    </row>
    <row r="28" spans="1:8" x14ac:dyDescent="0.3">
      <c r="A28">
        <v>5</v>
      </c>
      <c r="B28" t="s">
        <v>15</v>
      </c>
      <c r="C28">
        <v>6817.5</v>
      </c>
      <c r="D28">
        <v>20071.919999999998</v>
      </c>
      <c r="E28">
        <v>29.61</v>
      </c>
      <c r="F28" t="str">
        <f t="shared" si="1"/>
        <v>Under Valued</v>
      </c>
      <c r="G28" s="13">
        <v>3.59</v>
      </c>
      <c r="H28" t="s">
        <v>71</v>
      </c>
    </row>
    <row r="29" spans="1:8" x14ac:dyDescent="0.3">
      <c r="A29">
        <v>6</v>
      </c>
      <c r="B29" t="s">
        <v>16</v>
      </c>
      <c r="C29">
        <v>507.5</v>
      </c>
      <c r="D29">
        <v>18401.669999999998</v>
      </c>
      <c r="E29">
        <v>49.6</v>
      </c>
      <c r="F29" t="str">
        <f t="shared" si="1"/>
        <v>Under Valued</v>
      </c>
      <c r="G29" s="13">
        <v>-4.8899999999999997</v>
      </c>
      <c r="H29" t="s">
        <v>71</v>
      </c>
    </row>
    <row r="30" spans="1:8" x14ac:dyDescent="0.3">
      <c r="A30">
        <v>7</v>
      </c>
      <c r="B30" t="s">
        <v>17</v>
      </c>
      <c r="C30">
        <v>1265.25</v>
      </c>
      <c r="D30">
        <v>15972.24</v>
      </c>
      <c r="E30">
        <v>18.25</v>
      </c>
      <c r="F30" t="str">
        <f t="shared" si="1"/>
        <v>Under Valued</v>
      </c>
      <c r="G30" s="13">
        <v>1.9</v>
      </c>
      <c r="H30" t="s">
        <v>71</v>
      </c>
    </row>
    <row r="31" spans="1:8" x14ac:dyDescent="0.3">
      <c r="A31">
        <v>8</v>
      </c>
      <c r="B31" t="s">
        <v>18</v>
      </c>
      <c r="C31">
        <v>3641.9</v>
      </c>
      <c r="D31">
        <v>15764.2</v>
      </c>
      <c r="E31">
        <v>40.81</v>
      </c>
      <c r="F31" t="str">
        <f t="shared" si="1"/>
        <v>Under Valued</v>
      </c>
      <c r="G31" s="13">
        <v>12.5</v>
      </c>
      <c r="H31" t="s">
        <v>71</v>
      </c>
    </row>
    <row r="32" spans="1:8" x14ac:dyDescent="0.3">
      <c r="G32" t="s">
        <v>37</v>
      </c>
    </row>
    <row r="33" spans="1:13" x14ac:dyDescent="0.3">
      <c r="B33" s="1" t="s">
        <v>28</v>
      </c>
    </row>
    <row r="34" spans="1:13" s="1" customFormat="1" x14ac:dyDescent="0.3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21</v>
      </c>
      <c r="G34" s="1" t="s">
        <v>22</v>
      </c>
      <c r="H34" s="1" t="s">
        <v>23</v>
      </c>
      <c r="I34" s="1" t="s">
        <v>24</v>
      </c>
      <c r="J34" s="1" t="s">
        <v>33</v>
      </c>
      <c r="K34" s="1" t="s">
        <v>25</v>
      </c>
      <c r="L34" s="1" t="s">
        <v>26</v>
      </c>
      <c r="M34" s="1" t="s">
        <v>27</v>
      </c>
    </row>
    <row r="35" spans="1:13" x14ac:dyDescent="0.3">
      <c r="A35">
        <v>1</v>
      </c>
      <c r="B35" t="s">
        <v>6</v>
      </c>
      <c r="C35">
        <v>1375.7</v>
      </c>
      <c r="D35">
        <v>140015.35</v>
      </c>
      <c r="E35">
        <v>60.5</v>
      </c>
      <c r="F35" t="str">
        <f t="shared" ref="F35:F41" si="2">IF(E35&gt;$E$20,"Over Valued","Under Valued")</f>
        <v>Over Valued</v>
      </c>
      <c r="G35" s="3">
        <v>13140</v>
      </c>
      <c r="H35" s="3">
        <v>14601</v>
      </c>
      <c r="I35" s="3">
        <v>2096</v>
      </c>
      <c r="J35" s="3">
        <v>2471</v>
      </c>
      <c r="K35" t="s">
        <v>73</v>
      </c>
      <c r="L35" t="s">
        <v>73</v>
      </c>
      <c r="M35" t="s">
        <v>36</v>
      </c>
    </row>
    <row r="36" spans="1:13" x14ac:dyDescent="0.3">
      <c r="A36">
        <v>2</v>
      </c>
      <c r="B36" t="s">
        <v>7</v>
      </c>
      <c r="C36">
        <v>15439</v>
      </c>
      <c r="D36">
        <v>139707.6</v>
      </c>
      <c r="E36">
        <v>96.21</v>
      </c>
      <c r="F36" t="str">
        <f t="shared" si="2"/>
        <v>Over Valued</v>
      </c>
      <c r="G36">
        <v>7540</v>
      </c>
      <c r="H36">
        <v>9838</v>
      </c>
      <c r="I36">
        <v>1288</v>
      </c>
      <c r="J36">
        <v>1737</v>
      </c>
      <c r="K36" t="s">
        <v>73</v>
      </c>
      <c r="L36" t="s">
        <v>73</v>
      </c>
      <c r="M36" t="s">
        <v>36</v>
      </c>
    </row>
    <row r="37" spans="1:13" x14ac:dyDescent="0.3">
      <c r="A37">
        <v>3</v>
      </c>
      <c r="B37" t="s">
        <v>9</v>
      </c>
      <c r="C37">
        <v>7320</v>
      </c>
      <c r="D37">
        <v>62424.959999999999</v>
      </c>
      <c r="E37">
        <v>106.97</v>
      </c>
      <c r="F37" t="str">
        <f t="shared" si="2"/>
        <v>Over Valued</v>
      </c>
      <c r="G37" s="3">
        <v>2485</v>
      </c>
      <c r="H37" s="3">
        <v>2508</v>
      </c>
      <c r="I37">
        <v>448</v>
      </c>
      <c r="J37">
        <v>584</v>
      </c>
      <c r="K37" t="s">
        <v>73</v>
      </c>
      <c r="L37" t="s">
        <v>73</v>
      </c>
      <c r="M37" t="s">
        <v>36</v>
      </c>
    </row>
    <row r="38" spans="1:13" x14ac:dyDescent="0.3">
      <c r="A38">
        <v>4</v>
      </c>
      <c r="B38" t="s">
        <v>10</v>
      </c>
      <c r="C38">
        <v>3602</v>
      </c>
      <c r="D38">
        <v>39567.97</v>
      </c>
      <c r="E38">
        <v>59.33</v>
      </c>
      <c r="F38" t="str">
        <f t="shared" si="2"/>
        <v>Over Valued</v>
      </c>
      <c r="G38" s="3">
        <v>4737</v>
      </c>
      <c r="H38" s="3">
        <v>4852</v>
      </c>
      <c r="I38">
        <v>546</v>
      </c>
      <c r="J38">
        <v>656</v>
      </c>
      <c r="K38" t="s">
        <v>73</v>
      </c>
      <c r="L38" t="s">
        <v>73</v>
      </c>
      <c r="M38" t="s">
        <v>36</v>
      </c>
    </row>
    <row r="39" spans="1:13" s="1" customFormat="1" x14ac:dyDescent="0.3">
      <c r="A39" s="1">
        <v>5</v>
      </c>
      <c r="B39" s="1" t="s">
        <v>14</v>
      </c>
      <c r="C39" s="1">
        <v>809</v>
      </c>
      <c r="D39" s="1">
        <v>20610.080000000002</v>
      </c>
      <c r="E39" s="1">
        <v>75.760000000000005</v>
      </c>
      <c r="F39" s="1" t="str">
        <f t="shared" si="2"/>
        <v>Over Valued</v>
      </c>
      <c r="G39" s="14">
        <v>14887</v>
      </c>
      <c r="H39" s="14">
        <v>14584</v>
      </c>
      <c r="I39" s="1">
        <v>387</v>
      </c>
      <c r="J39" s="1">
        <v>-1715</v>
      </c>
      <c r="K39" s="1" t="s">
        <v>74</v>
      </c>
      <c r="L39" s="1" t="s">
        <v>74</v>
      </c>
      <c r="M39" s="1" t="s">
        <v>38</v>
      </c>
    </row>
    <row r="40" spans="1:13" x14ac:dyDescent="0.3">
      <c r="A40">
        <v>6</v>
      </c>
      <c r="B40" t="s">
        <v>19</v>
      </c>
      <c r="C40">
        <v>1171.8</v>
      </c>
      <c r="D40">
        <v>15547.47</v>
      </c>
      <c r="E40">
        <v>69.5</v>
      </c>
      <c r="F40" t="str">
        <f t="shared" si="2"/>
        <v>Over Valued</v>
      </c>
      <c r="G40" s="3">
        <v>839</v>
      </c>
      <c r="H40" s="3">
        <v>1160</v>
      </c>
      <c r="I40">
        <v>158</v>
      </c>
      <c r="J40">
        <v>219</v>
      </c>
      <c r="K40" t="s">
        <v>73</v>
      </c>
      <c r="L40" t="s">
        <v>73</v>
      </c>
      <c r="M40" t="s">
        <v>36</v>
      </c>
    </row>
    <row r="41" spans="1:13" x14ac:dyDescent="0.3">
      <c r="A41">
        <v>7</v>
      </c>
      <c r="B41" t="s">
        <v>20</v>
      </c>
      <c r="C41">
        <v>1343.8</v>
      </c>
      <c r="D41">
        <v>15298.94</v>
      </c>
      <c r="E41">
        <v>88.93</v>
      </c>
      <c r="F41" t="str">
        <f t="shared" si="2"/>
        <v>Over Valued</v>
      </c>
      <c r="G41" s="3">
        <v>1437</v>
      </c>
      <c r="H41" s="3">
        <v>2365</v>
      </c>
      <c r="I41">
        <v>160</v>
      </c>
      <c r="J41">
        <v>222</v>
      </c>
      <c r="K41" t="s">
        <v>73</v>
      </c>
      <c r="L41" t="s">
        <v>73</v>
      </c>
      <c r="M41" t="s">
        <v>36</v>
      </c>
    </row>
    <row r="42" spans="1:13" x14ac:dyDescent="0.3">
      <c r="G42" s="3">
        <v>13767</v>
      </c>
      <c r="H42" s="3">
        <v>15162</v>
      </c>
      <c r="I42">
        <v>563</v>
      </c>
      <c r="J42">
        <v>499</v>
      </c>
      <c r="K42" t="s">
        <v>34</v>
      </c>
      <c r="L42" t="s">
        <v>35</v>
      </c>
      <c r="M42" t="s">
        <v>36</v>
      </c>
    </row>
  </sheetData>
  <autoFilter ref="A4:F20" xr:uid="{38C04644-2F1B-46EE-B2B0-3C0DE1D1327C}"/>
  <mergeCells count="1">
    <mergeCell ref="C2:F2"/>
  </mergeCells>
  <phoneticPr fontId="3" type="noConversion"/>
  <conditionalFormatting sqref="E5:E19">
    <cfRule type="cellIs" dxfId="2" priority="4" operator="greaterThan">
      <formula>$E$20</formula>
    </cfRule>
  </conditionalFormatting>
  <conditionalFormatting sqref="E24:E31">
    <cfRule type="cellIs" dxfId="1" priority="2" operator="greaterThan">
      <formula>$E$20</formula>
    </cfRule>
  </conditionalFormatting>
  <conditionalFormatting sqref="E35:E41">
    <cfRule type="cellIs" dxfId="0" priority="1" operator="greaterThan">
      <formula>$E$20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A651-B3A3-4CF2-8529-5538D6651CB3}">
  <dimension ref="A1:V30"/>
  <sheetViews>
    <sheetView zoomScale="80" workbookViewId="0">
      <selection activeCell="H25" sqref="H25"/>
    </sheetView>
  </sheetViews>
  <sheetFormatPr defaultRowHeight="14.4" x14ac:dyDescent="0.3"/>
  <cols>
    <col min="1" max="1" width="25.5546875" bestFit="1" customWidth="1"/>
    <col min="2" max="2" width="14.88671875" bestFit="1" customWidth="1"/>
    <col min="3" max="3" width="11.88671875" bestFit="1" customWidth="1"/>
    <col min="4" max="4" width="14.88671875" bestFit="1" customWidth="1"/>
    <col min="5" max="5" width="10.5546875" bestFit="1" customWidth="1"/>
    <col min="6" max="6" width="15.5546875" bestFit="1" customWidth="1"/>
    <col min="7" max="7" width="14.6640625" bestFit="1" customWidth="1"/>
    <col min="8" max="8" width="15.77734375" bestFit="1" customWidth="1"/>
    <col min="9" max="9" width="9.44140625" customWidth="1"/>
    <col min="10" max="10" width="16.109375" bestFit="1" customWidth="1"/>
    <col min="11" max="11" width="7.33203125" bestFit="1" customWidth="1"/>
    <col min="12" max="12" width="40.33203125" bestFit="1" customWidth="1"/>
    <col min="13" max="13" width="15.88671875" bestFit="1" customWidth="1"/>
    <col min="14" max="14" width="13.88671875" bestFit="1" customWidth="1"/>
    <col min="15" max="15" width="13.88671875" customWidth="1"/>
    <col min="16" max="16" width="16.109375" bestFit="1" customWidth="1"/>
    <col min="17" max="17" width="13.88671875" bestFit="1" customWidth="1"/>
    <col min="18" max="18" width="9.44140625" customWidth="1"/>
    <col min="19" max="19" width="25.5546875" bestFit="1" customWidth="1"/>
    <col min="20" max="20" width="7.33203125" bestFit="1" customWidth="1"/>
    <col min="21" max="21" width="9.44140625" bestFit="1" customWidth="1"/>
  </cols>
  <sheetData>
    <row r="1" spans="1:16" x14ac:dyDescent="0.3">
      <c r="A1" t="s">
        <v>44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16" x14ac:dyDescent="0.3">
      <c r="A2" s="1" t="s">
        <v>45</v>
      </c>
      <c r="B2" s="1" t="s">
        <v>7</v>
      </c>
      <c r="C2" s="1" t="s">
        <v>6</v>
      </c>
      <c r="D2" s="1" t="s">
        <v>12</v>
      </c>
      <c r="E2" s="1" t="s">
        <v>9</v>
      </c>
      <c r="F2" s="1" t="s">
        <v>10</v>
      </c>
      <c r="G2" s="1" t="s">
        <v>19</v>
      </c>
      <c r="H2" s="1" t="s">
        <v>20</v>
      </c>
    </row>
    <row r="3" spans="1:16" x14ac:dyDescent="0.3">
      <c r="A3" t="s">
        <v>40</v>
      </c>
      <c r="B3" s="4">
        <v>0.29199999999999998</v>
      </c>
      <c r="C3" s="4">
        <v>0.26790000000000003</v>
      </c>
      <c r="D3" s="19">
        <v>0.22109999999999999</v>
      </c>
      <c r="E3" s="4">
        <v>0.45200000000000001</v>
      </c>
      <c r="F3" s="4">
        <v>0.33179999999999998</v>
      </c>
      <c r="G3" s="4">
        <v>0.37069999999999997</v>
      </c>
      <c r="H3" s="4">
        <v>0.28139999999999998</v>
      </c>
    </row>
    <row r="4" spans="1:16" x14ac:dyDescent="0.3">
      <c r="A4" t="s">
        <v>31</v>
      </c>
      <c r="B4">
        <f t="shared" ref="B4:H4" si="0">RANK(B3,$B$3:$H$3,0)</f>
        <v>4</v>
      </c>
      <c r="C4">
        <f t="shared" si="0"/>
        <v>6</v>
      </c>
      <c r="D4">
        <f t="shared" si="0"/>
        <v>7</v>
      </c>
      <c r="E4">
        <f t="shared" si="0"/>
        <v>1</v>
      </c>
      <c r="F4">
        <f t="shared" si="0"/>
        <v>3</v>
      </c>
      <c r="G4">
        <f t="shared" si="0"/>
        <v>2</v>
      </c>
      <c r="H4">
        <f t="shared" si="0"/>
        <v>5</v>
      </c>
      <c r="L4" s="1"/>
      <c r="M4" s="1"/>
      <c r="N4" s="1"/>
      <c r="O4" s="1"/>
      <c r="P4" s="1"/>
    </row>
    <row r="5" spans="1:16" x14ac:dyDescent="0.3">
      <c r="A5" t="s">
        <v>32</v>
      </c>
      <c r="B5">
        <v>0.25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</row>
    <row r="6" spans="1:16" x14ac:dyDescent="0.3">
      <c r="B6" s="1">
        <f>B4*B5</f>
        <v>1</v>
      </c>
      <c r="C6" s="1">
        <f>C4*C5</f>
        <v>1.5</v>
      </c>
      <c r="D6" s="1">
        <f>D4*D5</f>
        <v>1.75</v>
      </c>
      <c r="E6" s="1">
        <f t="shared" ref="E6:G6" si="1">E4*E5</f>
        <v>0.25</v>
      </c>
      <c r="F6" s="1">
        <f t="shared" si="1"/>
        <v>0.75</v>
      </c>
      <c r="G6" s="1">
        <f t="shared" si="1"/>
        <v>0.5</v>
      </c>
      <c r="H6" s="1">
        <f>H4*H5</f>
        <v>1.25</v>
      </c>
    </row>
    <row r="7" spans="1:16" x14ac:dyDescent="0.3">
      <c r="A7" t="s">
        <v>41</v>
      </c>
      <c r="B7">
        <v>36.799999999999997</v>
      </c>
      <c r="C7">
        <v>31</v>
      </c>
      <c r="D7">
        <v>22.2</v>
      </c>
      <c r="E7">
        <v>18.2</v>
      </c>
      <c r="F7">
        <v>9.86</v>
      </c>
      <c r="G7">
        <v>11.9</v>
      </c>
      <c r="H7">
        <v>7.36</v>
      </c>
    </row>
    <row r="8" spans="1:16" x14ac:dyDescent="0.3">
      <c r="A8" t="s">
        <v>31</v>
      </c>
      <c r="B8">
        <f t="shared" ref="B8:H8" si="2">RANK(B7,$B$7:$H$7,0)</f>
        <v>1</v>
      </c>
      <c r="C8">
        <f t="shared" si="2"/>
        <v>2</v>
      </c>
      <c r="D8">
        <f t="shared" si="2"/>
        <v>3</v>
      </c>
      <c r="E8">
        <f t="shared" si="2"/>
        <v>4</v>
      </c>
      <c r="F8">
        <f t="shared" si="2"/>
        <v>6</v>
      </c>
      <c r="G8">
        <f t="shared" si="2"/>
        <v>5</v>
      </c>
      <c r="H8">
        <f t="shared" si="2"/>
        <v>7</v>
      </c>
    </row>
    <row r="9" spans="1:16" x14ac:dyDescent="0.3">
      <c r="A9" t="s">
        <v>32</v>
      </c>
      <c r="B9">
        <v>0.3</v>
      </c>
      <c r="C9">
        <v>0.3</v>
      </c>
      <c r="D9">
        <v>0.3</v>
      </c>
      <c r="E9">
        <v>0.3</v>
      </c>
      <c r="F9">
        <v>0.3</v>
      </c>
      <c r="G9">
        <v>0.3</v>
      </c>
      <c r="H9">
        <v>0.3</v>
      </c>
    </row>
    <row r="10" spans="1:16" x14ac:dyDescent="0.3">
      <c r="B10" s="1">
        <f>B9*B8</f>
        <v>0.3</v>
      </c>
      <c r="C10" s="1">
        <f t="shared" ref="C10:H10" si="3">C9*C8</f>
        <v>0.6</v>
      </c>
      <c r="D10" s="1">
        <f t="shared" si="3"/>
        <v>0.89999999999999991</v>
      </c>
      <c r="E10" s="1">
        <f t="shared" si="3"/>
        <v>1.2</v>
      </c>
      <c r="F10" s="1">
        <f t="shared" si="3"/>
        <v>1.7999999999999998</v>
      </c>
      <c r="G10" s="1">
        <f t="shared" si="3"/>
        <v>1.5</v>
      </c>
      <c r="H10" s="1">
        <f t="shared" si="3"/>
        <v>2.1</v>
      </c>
    </row>
    <row r="11" spans="1:16" x14ac:dyDescent="0.3">
      <c r="A11" t="s">
        <v>42</v>
      </c>
      <c r="B11">
        <v>0.53</v>
      </c>
      <c r="C11">
        <v>0.11</v>
      </c>
      <c r="D11">
        <v>0.75</v>
      </c>
      <c r="E11">
        <v>7.0000000000000007E-2</v>
      </c>
      <c r="F11">
        <v>1.38</v>
      </c>
      <c r="G11">
        <v>1.06</v>
      </c>
      <c r="H11">
        <v>2.81</v>
      </c>
    </row>
    <row r="12" spans="1:16" x14ac:dyDescent="0.3">
      <c r="A12" t="s">
        <v>31</v>
      </c>
      <c r="B12">
        <f>RANK(B11,$B$11:$H$11,1)</f>
        <v>3</v>
      </c>
      <c r="C12">
        <f t="shared" ref="C12:H12" si="4">RANK(C11,$B$11:$H$11,1)</f>
        <v>2</v>
      </c>
      <c r="D12">
        <f t="shared" si="4"/>
        <v>4</v>
      </c>
      <c r="E12">
        <f t="shared" si="4"/>
        <v>1</v>
      </c>
      <c r="F12">
        <f t="shared" si="4"/>
        <v>6</v>
      </c>
      <c r="G12">
        <f t="shared" si="4"/>
        <v>5</v>
      </c>
      <c r="H12">
        <f t="shared" si="4"/>
        <v>7</v>
      </c>
    </row>
    <row r="13" spans="1:16" x14ac:dyDescent="0.3">
      <c r="A13" t="s">
        <v>32</v>
      </c>
      <c r="B13">
        <v>0.2</v>
      </c>
      <c r="C13">
        <v>0.2</v>
      </c>
      <c r="D13">
        <v>0.2</v>
      </c>
      <c r="E13">
        <v>0.2</v>
      </c>
      <c r="F13">
        <v>0.2</v>
      </c>
      <c r="G13">
        <v>0.2</v>
      </c>
      <c r="H13">
        <v>0.2</v>
      </c>
    </row>
    <row r="14" spans="1:16" x14ac:dyDescent="0.3">
      <c r="B14" s="1">
        <f t="shared" ref="B14:H14" si="5">B13*B12</f>
        <v>0.60000000000000009</v>
      </c>
      <c r="C14" s="1">
        <f t="shared" si="5"/>
        <v>0.4</v>
      </c>
      <c r="D14" s="1">
        <f t="shared" si="5"/>
        <v>0.8</v>
      </c>
      <c r="E14" s="1">
        <f t="shared" si="5"/>
        <v>0.2</v>
      </c>
      <c r="F14" s="1">
        <f t="shared" si="5"/>
        <v>1.2000000000000002</v>
      </c>
      <c r="G14" s="1">
        <f t="shared" si="5"/>
        <v>1</v>
      </c>
      <c r="H14" s="1">
        <f t="shared" si="5"/>
        <v>1.4000000000000001</v>
      </c>
    </row>
    <row r="15" spans="1:16" x14ac:dyDescent="0.3">
      <c r="A15" t="s">
        <v>43</v>
      </c>
      <c r="B15">
        <v>2.4300000000000002</v>
      </c>
      <c r="C15">
        <v>2.5299999999999998</v>
      </c>
      <c r="D15">
        <v>2.4</v>
      </c>
      <c r="E15">
        <v>1.21</v>
      </c>
      <c r="F15">
        <v>1.03</v>
      </c>
      <c r="G15">
        <v>0.77</v>
      </c>
      <c r="H15">
        <v>0.64</v>
      </c>
    </row>
    <row r="16" spans="1:16" x14ac:dyDescent="0.3">
      <c r="A16" t="s">
        <v>31</v>
      </c>
      <c r="B16">
        <f t="shared" ref="B16:H16" si="6">RANK(B15,$B$15:$H$15,0)</f>
        <v>2</v>
      </c>
      <c r="C16">
        <f t="shared" si="6"/>
        <v>1</v>
      </c>
      <c r="D16">
        <f t="shared" si="6"/>
        <v>3</v>
      </c>
      <c r="E16">
        <f t="shared" si="6"/>
        <v>4</v>
      </c>
      <c r="F16">
        <f t="shared" si="6"/>
        <v>5</v>
      </c>
      <c r="G16">
        <f t="shared" si="6"/>
        <v>6</v>
      </c>
      <c r="H16">
        <f t="shared" si="6"/>
        <v>7</v>
      </c>
    </row>
    <row r="17" spans="1:22" x14ac:dyDescent="0.3">
      <c r="A17" t="s">
        <v>32</v>
      </c>
      <c r="B17">
        <v>0.15</v>
      </c>
      <c r="C17">
        <v>0.15</v>
      </c>
      <c r="D17">
        <v>0.15</v>
      </c>
      <c r="E17">
        <v>0.15</v>
      </c>
      <c r="F17">
        <v>0.15</v>
      </c>
      <c r="G17">
        <v>0.15</v>
      </c>
      <c r="H17">
        <v>0.15</v>
      </c>
    </row>
    <row r="18" spans="1:22" x14ac:dyDescent="0.3">
      <c r="B18" s="1">
        <f t="shared" ref="B18:H18" si="7">B17*B16</f>
        <v>0.3</v>
      </c>
      <c r="C18" s="1">
        <f t="shared" si="7"/>
        <v>0.15</v>
      </c>
      <c r="D18" s="1">
        <f t="shared" si="7"/>
        <v>0.44999999999999996</v>
      </c>
      <c r="E18" s="1">
        <f t="shared" si="7"/>
        <v>0.6</v>
      </c>
      <c r="F18" s="1">
        <f t="shared" si="7"/>
        <v>0.75</v>
      </c>
      <c r="G18" s="1">
        <f t="shared" si="7"/>
        <v>0.89999999999999991</v>
      </c>
      <c r="H18" s="1">
        <f t="shared" si="7"/>
        <v>1.05</v>
      </c>
    </row>
    <row r="19" spans="1:22" x14ac:dyDescent="0.3">
      <c r="A19" t="s">
        <v>75</v>
      </c>
      <c r="B19">
        <v>152</v>
      </c>
      <c r="C19">
        <v>67</v>
      </c>
      <c r="D19">
        <v>103</v>
      </c>
      <c r="E19">
        <v>-218</v>
      </c>
      <c r="F19">
        <v>401</v>
      </c>
      <c r="G19">
        <v>330</v>
      </c>
      <c r="H19">
        <v>377</v>
      </c>
    </row>
    <row r="20" spans="1:22" x14ac:dyDescent="0.3">
      <c r="A20" t="s">
        <v>31</v>
      </c>
      <c r="B20">
        <f t="shared" ref="B20:H20" si="8">RANK(B19,$B$19:$H$19,1)</f>
        <v>4</v>
      </c>
      <c r="C20">
        <f t="shared" si="8"/>
        <v>2</v>
      </c>
      <c r="D20">
        <f t="shared" si="8"/>
        <v>3</v>
      </c>
      <c r="E20">
        <f t="shared" si="8"/>
        <v>1</v>
      </c>
      <c r="F20">
        <f t="shared" si="8"/>
        <v>7</v>
      </c>
      <c r="G20">
        <f t="shared" si="8"/>
        <v>5</v>
      </c>
      <c r="H20">
        <f t="shared" si="8"/>
        <v>6</v>
      </c>
    </row>
    <row r="21" spans="1:22" x14ac:dyDescent="0.3">
      <c r="A21" t="s">
        <v>32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Q21" s="7"/>
      <c r="R21" s="7"/>
      <c r="S21" s="7"/>
      <c r="T21" s="7"/>
      <c r="U21" s="7"/>
      <c r="V21" s="7"/>
    </row>
    <row r="22" spans="1:22" x14ac:dyDescent="0.3">
      <c r="B22" s="1">
        <f>B21*B20</f>
        <v>0.4</v>
      </c>
      <c r="C22" s="1">
        <f t="shared" ref="C22:H22" si="9">C21*C20</f>
        <v>0.2</v>
      </c>
      <c r="D22" s="1">
        <f t="shared" si="9"/>
        <v>0.30000000000000004</v>
      </c>
      <c r="E22" s="1">
        <f t="shared" si="9"/>
        <v>0.1</v>
      </c>
      <c r="F22" s="1">
        <f t="shared" si="9"/>
        <v>0.70000000000000007</v>
      </c>
      <c r="G22" s="1">
        <f t="shared" si="9"/>
        <v>0.5</v>
      </c>
      <c r="H22" s="1">
        <f t="shared" si="9"/>
        <v>0.60000000000000009</v>
      </c>
      <c r="Q22" s="7"/>
      <c r="R22" s="8"/>
      <c r="S22" s="8"/>
      <c r="T22" s="9"/>
      <c r="U22" s="8"/>
      <c r="V22" s="10"/>
    </row>
    <row r="23" spans="1:22" x14ac:dyDescent="0.3">
      <c r="Q23" s="7"/>
      <c r="R23" s="8"/>
      <c r="S23" s="8"/>
      <c r="T23" s="9"/>
      <c r="U23" s="8"/>
      <c r="V23" s="10"/>
    </row>
    <row r="24" spans="1:22" x14ac:dyDescent="0.3">
      <c r="A24" s="1" t="s">
        <v>46</v>
      </c>
      <c r="B24" s="1">
        <f>SUM(B22,B18,B14,B10,B6)</f>
        <v>2.6</v>
      </c>
      <c r="C24" s="1">
        <f>SUM(C22,C18,C14,C10,C6)</f>
        <v>2.85</v>
      </c>
      <c r="D24" s="1">
        <f t="shared" ref="D24:H24" si="10">SUM(D22,D18,D14,D10,D6)</f>
        <v>4.2</v>
      </c>
      <c r="E24" s="1">
        <f t="shared" si="10"/>
        <v>2.3499999999999996</v>
      </c>
      <c r="F24" s="1">
        <f t="shared" si="10"/>
        <v>5.2</v>
      </c>
      <c r="G24" s="1">
        <f t="shared" si="10"/>
        <v>4.4000000000000004</v>
      </c>
      <c r="H24" s="1">
        <f t="shared" si="10"/>
        <v>6.4</v>
      </c>
      <c r="Q24" s="7"/>
      <c r="R24" s="8"/>
      <c r="S24" s="8"/>
      <c r="T24" s="9"/>
      <c r="U24" s="8"/>
      <c r="V24" s="10"/>
    </row>
    <row r="25" spans="1:22" x14ac:dyDescent="0.3">
      <c r="A25" s="1" t="s">
        <v>31</v>
      </c>
      <c r="B25" s="1">
        <f t="shared" ref="B25:H25" si="11">RANK(B24,$B$24:$H$24,1)</f>
        <v>2</v>
      </c>
      <c r="C25" s="1">
        <f t="shared" si="11"/>
        <v>3</v>
      </c>
      <c r="D25" s="1">
        <f t="shared" si="11"/>
        <v>4</v>
      </c>
      <c r="E25" s="1">
        <f t="shared" si="11"/>
        <v>1</v>
      </c>
      <c r="F25" s="1">
        <f t="shared" si="11"/>
        <v>6</v>
      </c>
      <c r="G25" s="1">
        <f t="shared" si="11"/>
        <v>5</v>
      </c>
      <c r="H25" s="1">
        <f t="shared" si="11"/>
        <v>7</v>
      </c>
      <c r="Q25" s="7"/>
      <c r="R25" s="8"/>
      <c r="S25" s="8"/>
      <c r="T25" s="9"/>
      <c r="U25" s="8"/>
      <c r="V25" s="10"/>
    </row>
    <row r="26" spans="1:22" x14ac:dyDescent="0.3">
      <c r="Q26" s="7"/>
      <c r="R26" s="8"/>
      <c r="S26" s="8"/>
      <c r="T26" s="9"/>
      <c r="U26" s="8"/>
      <c r="V26" s="10"/>
    </row>
    <row r="27" spans="1:22" x14ac:dyDescent="0.3">
      <c r="Q27" s="7"/>
      <c r="R27" s="8"/>
      <c r="S27" s="8"/>
      <c r="T27" s="9"/>
      <c r="U27" s="8"/>
      <c r="V27" s="10"/>
    </row>
    <row r="28" spans="1:22" x14ac:dyDescent="0.3">
      <c r="Q28" s="7"/>
      <c r="R28" s="8"/>
      <c r="S28" s="8"/>
      <c r="T28" s="9"/>
      <c r="U28" s="8"/>
      <c r="V28" s="10"/>
    </row>
    <row r="29" spans="1:22" x14ac:dyDescent="0.3">
      <c r="Q29" s="7"/>
      <c r="R29" s="8"/>
      <c r="S29" s="8"/>
      <c r="T29" s="9"/>
      <c r="U29" s="8"/>
      <c r="V29" s="10"/>
    </row>
    <row r="30" spans="1:22" x14ac:dyDescent="0.3">
      <c r="Q30" s="8"/>
      <c r="R30" s="7"/>
      <c r="S30" s="8"/>
      <c r="T30" s="9"/>
      <c r="U30" s="7"/>
      <c r="V30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9CBD-FD2A-4CA9-9937-A7BD01026ECA}">
  <dimension ref="A1:R341"/>
  <sheetViews>
    <sheetView tabSelected="1" topLeftCell="A304" zoomScale="78" workbookViewId="0">
      <selection activeCell="J328" sqref="J328"/>
    </sheetView>
  </sheetViews>
  <sheetFormatPr defaultRowHeight="14.4" x14ac:dyDescent="0.3"/>
  <cols>
    <col min="1" max="1" width="5.5546875" bestFit="1" customWidth="1"/>
    <col min="2" max="2" width="36" bestFit="1" customWidth="1"/>
    <col min="3" max="3" width="16.109375" bestFit="1" customWidth="1"/>
    <col min="4" max="4" width="16.109375" customWidth="1"/>
    <col min="5" max="5" width="17.77734375" bestFit="1" customWidth="1"/>
    <col min="6" max="6" width="11.33203125" bestFit="1" customWidth="1"/>
    <col min="7" max="7" width="16.33203125" bestFit="1" customWidth="1"/>
    <col min="8" max="8" width="12.88671875" bestFit="1" customWidth="1"/>
    <col min="9" max="9" width="14.88671875" bestFit="1" customWidth="1"/>
    <col min="10" max="10" width="8.5546875" bestFit="1" customWidth="1"/>
    <col min="14" max="14" width="15.88671875" bestFit="1" customWidth="1"/>
  </cols>
  <sheetData>
    <row r="1" spans="1:18" x14ac:dyDescent="0.3">
      <c r="B1" s="21" t="s">
        <v>47</v>
      </c>
      <c r="C1" s="21"/>
      <c r="D1" s="21"/>
      <c r="E1" s="21"/>
      <c r="F1" s="21"/>
      <c r="G1" s="21"/>
    </row>
    <row r="2" spans="1:18" x14ac:dyDescent="0.3">
      <c r="A2" s="1" t="s">
        <v>1</v>
      </c>
      <c r="B2" s="1" t="s">
        <v>48</v>
      </c>
      <c r="C2" s="1" t="s">
        <v>49</v>
      </c>
      <c r="D2" s="1"/>
      <c r="E2" s="1" t="s">
        <v>50</v>
      </c>
      <c r="F2" s="1" t="s">
        <v>53</v>
      </c>
      <c r="G2" s="1" t="s">
        <v>51</v>
      </c>
      <c r="H2" s="1" t="s">
        <v>54</v>
      </c>
      <c r="K2" s="1" t="s">
        <v>81</v>
      </c>
      <c r="L2">
        <f>H10/10000000</f>
        <v>9.9999974399999996</v>
      </c>
    </row>
    <row r="3" spans="1:18" x14ac:dyDescent="0.3">
      <c r="A3" s="1">
        <v>1</v>
      </c>
      <c r="B3" s="1" t="s">
        <v>9</v>
      </c>
      <c r="C3">
        <v>7320</v>
      </c>
      <c r="E3">
        <v>2732</v>
      </c>
      <c r="F3" s="5">
        <v>0.2</v>
      </c>
      <c r="G3" s="6">
        <f t="shared" ref="G3:G9" si="0">$G$10*F3</f>
        <v>20000000</v>
      </c>
      <c r="H3">
        <f>C3*E3</f>
        <v>19998240</v>
      </c>
    </row>
    <row r="4" spans="1:18" x14ac:dyDescent="0.3">
      <c r="A4" s="1">
        <v>2</v>
      </c>
      <c r="B4" s="1" t="s">
        <v>7</v>
      </c>
      <c r="C4">
        <v>15439</v>
      </c>
      <c r="E4">
        <v>1166</v>
      </c>
      <c r="F4" s="5">
        <v>0.18</v>
      </c>
      <c r="G4" s="6">
        <f t="shared" si="0"/>
        <v>18000000</v>
      </c>
      <c r="H4">
        <f t="shared" ref="H4:H9" si="1">C4*E4</f>
        <v>18001874</v>
      </c>
    </row>
    <row r="5" spans="1:18" x14ac:dyDescent="0.3">
      <c r="A5" s="1">
        <v>3</v>
      </c>
      <c r="B5" s="1" t="s">
        <v>6</v>
      </c>
      <c r="C5">
        <v>1375.7</v>
      </c>
      <c r="E5">
        <v>11630</v>
      </c>
      <c r="F5" s="5">
        <v>0.16</v>
      </c>
      <c r="G5" s="6">
        <f t="shared" si="0"/>
        <v>16000000</v>
      </c>
      <c r="H5">
        <f t="shared" si="1"/>
        <v>15999391</v>
      </c>
    </row>
    <row r="6" spans="1:18" x14ac:dyDescent="0.3">
      <c r="A6" s="1">
        <v>4</v>
      </c>
      <c r="B6" s="1" t="s">
        <v>12</v>
      </c>
      <c r="C6">
        <v>607.75</v>
      </c>
      <c r="E6">
        <v>23036</v>
      </c>
      <c r="F6" s="5">
        <v>0.14000000000000001</v>
      </c>
      <c r="G6" s="6">
        <f t="shared" si="0"/>
        <v>14000000.000000002</v>
      </c>
      <c r="H6">
        <f t="shared" si="1"/>
        <v>14000129</v>
      </c>
    </row>
    <row r="7" spans="1:18" x14ac:dyDescent="0.3">
      <c r="A7" s="1">
        <v>5</v>
      </c>
      <c r="B7" s="1" t="s">
        <v>19</v>
      </c>
      <c r="C7">
        <v>1171.8</v>
      </c>
      <c r="E7">
        <v>10241</v>
      </c>
      <c r="F7" s="5">
        <v>0.12</v>
      </c>
      <c r="G7" s="6">
        <f t="shared" si="0"/>
        <v>12000000</v>
      </c>
      <c r="H7">
        <f t="shared" si="1"/>
        <v>12000403.799999999</v>
      </c>
    </row>
    <row r="8" spans="1:18" x14ac:dyDescent="0.3">
      <c r="A8" s="1">
        <v>6</v>
      </c>
      <c r="B8" s="1" t="s">
        <v>10</v>
      </c>
      <c r="C8">
        <v>3602</v>
      </c>
      <c r="E8">
        <v>3054</v>
      </c>
      <c r="F8" s="5">
        <v>0.11</v>
      </c>
      <c r="G8" s="6">
        <f t="shared" si="0"/>
        <v>11000000</v>
      </c>
      <c r="H8">
        <f t="shared" si="1"/>
        <v>11000508</v>
      </c>
    </row>
    <row r="9" spans="1:18" x14ac:dyDescent="0.3">
      <c r="A9" s="1">
        <v>7</v>
      </c>
      <c r="B9" s="1" t="s">
        <v>20</v>
      </c>
      <c r="C9">
        <v>1343.8</v>
      </c>
      <c r="E9">
        <v>6697</v>
      </c>
      <c r="F9" s="5">
        <v>0.09</v>
      </c>
      <c r="G9" s="6">
        <f t="shared" si="0"/>
        <v>9000000</v>
      </c>
      <c r="H9">
        <f t="shared" si="1"/>
        <v>8999428.5999999996</v>
      </c>
    </row>
    <row r="10" spans="1:18" x14ac:dyDescent="0.3">
      <c r="B10" s="1" t="s">
        <v>52</v>
      </c>
      <c r="F10" s="5">
        <v>1</v>
      </c>
      <c r="G10" s="6">
        <v>100000000</v>
      </c>
      <c r="H10" s="3">
        <f>SUM(H3:H9)</f>
        <v>99999974.399999991</v>
      </c>
    </row>
    <row r="12" spans="1:18" x14ac:dyDescent="0.3">
      <c r="B12" s="15">
        <v>46153</v>
      </c>
    </row>
    <row r="13" spans="1:18" x14ac:dyDescent="0.3">
      <c r="A13" s="1" t="s">
        <v>1</v>
      </c>
      <c r="B13" s="1" t="s">
        <v>48</v>
      </c>
      <c r="C13" s="1" t="s">
        <v>49</v>
      </c>
      <c r="D13" s="1" t="s">
        <v>69</v>
      </c>
      <c r="E13" s="1" t="s">
        <v>90</v>
      </c>
      <c r="H13" s="1" t="s">
        <v>81</v>
      </c>
      <c r="I13">
        <f>E21/10000000</f>
        <v>8.839499522070307</v>
      </c>
    </row>
    <row r="14" spans="1:18" x14ac:dyDescent="0.3">
      <c r="A14" s="1">
        <v>1</v>
      </c>
      <c r="B14" s="1" t="s">
        <v>9</v>
      </c>
      <c r="C14">
        <v>7741</v>
      </c>
      <c r="D14">
        <f>(C14-C3)/C3</f>
        <v>5.751366120218579E-2</v>
      </c>
      <c r="E14">
        <f>C14*$E$3</f>
        <v>21148412</v>
      </c>
      <c r="R14" s="20"/>
    </row>
    <row r="15" spans="1:18" x14ac:dyDescent="0.3">
      <c r="A15" s="1">
        <v>2</v>
      </c>
      <c r="B15" s="1" t="s">
        <v>7</v>
      </c>
      <c r="C15">
        <v>16263</v>
      </c>
      <c r="D15">
        <f>(C15-C4)/C4</f>
        <v>5.337133234017747E-2</v>
      </c>
      <c r="E15">
        <f t="shared" ref="E15:E20" si="2">C15*$E$3</f>
        <v>44430516</v>
      </c>
      <c r="R15" s="20"/>
    </row>
    <row r="16" spans="1:18" x14ac:dyDescent="0.3">
      <c r="A16" s="1">
        <v>3</v>
      </c>
      <c r="B16" s="1" t="s">
        <v>6</v>
      </c>
      <c r="C16">
        <v>1437.19995117187</v>
      </c>
      <c r="D16">
        <f>(C16-C5)/C5</f>
        <v>4.4704478572268627E-2</v>
      </c>
      <c r="E16">
        <f t="shared" si="2"/>
        <v>3926430.266601549</v>
      </c>
      <c r="R16" s="20"/>
    </row>
    <row r="17" spans="1:18" x14ac:dyDescent="0.3">
      <c r="A17" s="1">
        <v>4</v>
      </c>
      <c r="B17" s="1" t="s">
        <v>12</v>
      </c>
      <c r="C17">
        <v>615.11560058593705</v>
      </c>
      <c r="D17">
        <f>(C17-C6)/C6</f>
        <v>1.2119457977683332E-2</v>
      </c>
      <c r="E17">
        <f t="shared" si="2"/>
        <v>1680495.8208007801</v>
      </c>
      <c r="I17" s="6"/>
      <c r="R17" s="20"/>
    </row>
    <row r="18" spans="1:18" x14ac:dyDescent="0.3">
      <c r="A18" s="1">
        <v>5</v>
      </c>
      <c r="B18" s="1" t="s">
        <v>19</v>
      </c>
      <c r="C18">
        <v>1200.69995117187</v>
      </c>
      <c r="D18">
        <f>(C18-C7)/C7</f>
        <v>2.4662870090348218E-2</v>
      </c>
      <c r="E18">
        <f t="shared" si="2"/>
        <v>3280312.266601549</v>
      </c>
      <c r="I18" s="6"/>
      <c r="R18" s="20"/>
    </row>
    <row r="19" spans="1:18" x14ac:dyDescent="0.3">
      <c r="A19" s="1">
        <v>6</v>
      </c>
      <c r="B19" s="1" t="s">
        <v>10</v>
      </c>
      <c r="C19">
        <v>3737.30004882812</v>
      </c>
      <c r="D19">
        <f>(C19-C8)/C8</f>
        <v>3.7562478852892836E-2</v>
      </c>
      <c r="E19">
        <f t="shared" si="2"/>
        <v>10210303.733398424</v>
      </c>
      <c r="I19" s="6"/>
      <c r="R19" s="20"/>
    </row>
    <row r="20" spans="1:18" x14ac:dyDescent="0.3">
      <c r="A20" s="1">
        <v>7</v>
      </c>
      <c r="B20" s="1" t="s">
        <v>20</v>
      </c>
      <c r="C20">
        <v>1361.09997558593</v>
      </c>
      <c r="D20">
        <f>(C20-C9)/C9</f>
        <v>1.2873921406407236E-2</v>
      </c>
      <c r="E20">
        <f t="shared" si="2"/>
        <v>3718525.1333007608</v>
      </c>
      <c r="I20" s="6"/>
      <c r="R20" s="20"/>
    </row>
    <row r="21" spans="1:18" x14ac:dyDescent="0.3">
      <c r="D21">
        <f>SUM(D14:D20)</f>
        <v>0.24280820044196347</v>
      </c>
      <c r="E21">
        <f>SUM(E14:E20)</f>
        <v>88394995.220703065</v>
      </c>
      <c r="J21" s="6"/>
      <c r="R21" s="20"/>
    </row>
    <row r="22" spans="1:18" x14ac:dyDescent="0.3">
      <c r="J22" s="6"/>
      <c r="R22" s="20"/>
    </row>
    <row r="23" spans="1:18" x14ac:dyDescent="0.3">
      <c r="B23" s="15">
        <v>46154</v>
      </c>
      <c r="J23" s="6"/>
      <c r="R23" s="20"/>
    </row>
    <row r="24" spans="1:18" x14ac:dyDescent="0.3">
      <c r="A24" s="1" t="s">
        <v>1</v>
      </c>
      <c r="B24" s="1" t="s">
        <v>48</v>
      </c>
      <c r="C24" s="1" t="s">
        <v>49</v>
      </c>
      <c r="D24" s="1" t="s">
        <v>69</v>
      </c>
      <c r="E24" s="1" t="s">
        <v>90</v>
      </c>
      <c r="H24" s="1" t="s">
        <v>81</v>
      </c>
      <c r="I24">
        <f>E32/10000000</f>
        <v>8.5402256135498025</v>
      </c>
      <c r="J24" s="6"/>
      <c r="R24" s="20"/>
    </row>
    <row r="25" spans="1:18" x14ac:dyDescent="0.3">
      <c r="A25" s="1">
        <v>1</v>
      </c>
      <c r="B25" s="1" t="s">
        <v>9</v>
      </c>
      <c r="C25">
        <v>7455</v>
      </c>
      <c r="D25">
        <f>(C25-C14)/C14</f>
        <v>-3.6946130990828059E-2</v>
      </c>
      <c r="E25">
        <f>C25*$E$3</f>
        <v>20367060</v>
      </c>
      <c r="J25" s="6"/>
      <c r="R25" s="20"/>
    </row>
    <row r="26" spans="1:18" x14ac:dyDescent="0.3">
      <c r="A26" s="1">
        <v>2</v>
      </c>
      <c r="B26" s="1" t="s">
        <v>7</v>
      </c>
      <c r="C26">
        <v>15585</v>
      </c>
      <c r="D26">
        <f>(C26-C15)/C15</f>
        <v>-4.1689725142962555E-2</v>
      </c>
      <c r="E26">
        <f>C26*$E$3</f>
        <v>42578220</v>
      </c>
      <c r="J26" s="6"/>
      <c r="R26" s="20"/>
    </row>
    <row r="27" spans="1:18" x14ac:dyDescent="0.3">
      <c r="A27" s="1">
        <v>3</v>
      </c>
      <c r="B27" s="1" t="s">
        <v>6</v>
      </c>
      <c r="C27">
        <v>1453</v>
      </c>
      <c r="D27">
        <f>(C27-C16)/C16</f>
        <v>1.0993633012057155E-2</v>
      </c>
      <c r="E27">
        <f>C27*$E$3</f>
        <v>3969596</v>
      </c>
      <c r="J27" s="6"/>
      <c r="R27" s="20"/>
    </row>
    <row r="28" spans="1:18" x14ac:dyDescent="0.3">
      <c r="A28" s="1">
        <v>4</v>
      </c>
      <c r="B28" s="1" t="s">
        <v>12</v>
      </c>
      <c r="C28">
        <v>606.87677001953102</v>
      </c>
      <c r="D28">
        <f>(C28-C17)/C17</f>
        <v>-1.3393954825008516E-2</v>
      </c>
      <c r="E28">
        <f>C28*$E$3</f>
        <v>1657987.3356933587</v>
      </c>
      <c r="I28" s="6"/>
      <c r="J28" s="6"/>
      <c r="R28" s="20"/>
    </row>
    <row r="29" spans="1:18" x14ac:dyDescent="0.3">
      <c r="A29" s="1">
        <v>5</v>
      </c>
      <c r="B29" s="1" t="s">
        <v>19</v>
      </c>
      <c r="C29">
        <v>1155.69995117187</v>
      </c>
      <c r="D29">
        <f>(C29-C18)/C18</f>
        <v>-3.7478139277077917E-2</v>
      </c>
      <c r="E29">
        <f>C29*$E$3</f>
        <v>3157372.266601549</v>
      </c>
      <c r="I29" s="6"/>
      <c r="J29" s="6"/>
      <c r="R29" s="20"/>
    </row>
    <row r="30" spans="1:18" x14ac:dyDescent="0.3">
      <c r="A30" s="1">
        <v>6</v>
      </c>
      <c r="B30" s="1" t="s">
        <v>10</v>
      </c>
      <c r="C30">
        <v>3644.89990234375</v>
      </c>
      <c r="D30">
        <f>(C30-C19)/C19</f>
        <v>-2.4723769907996358E-2</v>
      </c>
      <c r="E30">
        <f>C30*$E$3</f>
        <v>9957866.533203125</v>
      </c>
      <c r="I30" s="6"/>
      <c r="J30" s="6"/>
      <c r="R30" s="20"/>
    </row>
    <row r="31" spans="1:18" x14ac:dyDescent="0.3">
      <c r="A31" s="1">
        <v>7</v>
      </c>
      <c r="B31" s="1" t="s">
        <v>20</v>
      </c>
      <c r="C31">
        <v>1359.5</v>
      </c>
      <c r="D31">
        <f>(C31-C20)/C20</f>
        <v>-1.1755018842324457E-3</v>
      </c>
      <c r="E31">
        <f>C31*$E$3</f>
        <v>3714154</v>
      </c>
      <c r="I31" s="6"/>
      <c r="J31" s="6"/>
      <c r="R31" s="20"/>
    </row>
    <row r="32" spans="1:18" x14ac:dyDescent="0.3">
      <c r="D32">
        <f>SUM(D25:D31)</f>
        <v>-0.1444135890160487</v>
      </c>
      <c r="E32">
        <f>SUM(E25:E31)</f>
        <v>85402256.135498032</v>
      </c>
      <c r="R32" s="20"/>
    </row>
    <row r="33" spans="1:18" x14ac:dyDescent="0.3">
      <c r="R33" s="20"/>
    </row>
    <row r="34" spans="1:18" x14ac:dyDescent="0.3">
      <c r="B34" s="15">
        <v>46155</v>
      </c>
      <c r="R34" s="20"/>
    </row>
    <row r="35" spans="1:18" x14ac:dyDescent="0.3">
      <c r="A35" s="1" t="s">
        <v>1</v>
      </c>
      <c r="B35" s="1" t="s">
        <v>48</v>
      </c>
      <c r="C35" s="1" t="s">
        <v>49</v>
      </c>
      <c r="D35" s="1" t="s">
        <v>69</v>
      </c>
      <c r="E35" s="1" t="s">
        <v>90</v>
      </c>
      <c r="H35" s="1" t="s">
        <v>81</v>
      </c>
      <c r="I35">
        <f>E43/10000000</f>
        <v>8.5868841182373039</v>
      </c>
      <c r="R35" s="20"/>
    </row>
    <row r="36" spans="1:18" x14ac:dyDescent="0.3">
      <c r="A36" s="1">
        <v>1</v>
      </c>
      <c r="B36" s="1" t="s">
        <v>9</v>
      </c>
      <c r="C36">
        <v>7374.5</v>
      </c>
      <c r="D36">
        <f>(C36-C25)/C25</f>
        <v>-1.07981220657277E-2</v>
      </c>
      <c r="E36">
        <f>C36*$E$3</f>
        <v>20147134</v>
      </c>
    </row>
    <row r="37" spans="1:18" x14ac:dyDescent="0.3">
      <c r="A37" s="1">
        <v>2</v>
      </c>
      <c r="B37" s="1" t="s">
        <v>7</v>
      </c>
      <c r="C37">
        <v>15787</v>
      </c>
      <c r="D37">
        <f>(C37-C26)/C26</f>
        <v>1.2961180622393327E-2</v>
      </c>
      <c r="E37">
        <f>C37*$E$3</f>
        <v>43130084</v>
      </c>
    </row>
    <row r="38" spans="1:18" x14ac:dyDescent="0.3">
      <c r="A38" s="1">
        <v>3</v>
      </c>
      <c r="B38" s="1" t="s">
        <v>6</v>
      </c>
      <c r="C38">
        <v>1445.59997558593</v>
      </c>
      <c r="D38">
        <f>(C38-C27)/C27</f>
        <v>-5.0929280206951158E-3</v>
      </c>
      <c r="E38">
        <f>C38*$E$3</f>
        <v>3949379.1333007608</v>
      </c>
    </row>
    <row r="39" spans="1:18" x14ac:dyDescent="0.3">
      <c r="A39" s="1">
        <v>4</v>
      </c>
      <c r="B39" s="1" t="s">
        <v>12</v>
      </c>
      <c r="C39">
        <v>617.86187744140602</v>
      </c>
      <c r="D39">
        <f>(C39-C28)/C28</f>
        <v>1.8101051093983161E-2</v>
      </c>
      <c r="E39">
        <f>C39*$E$3</f>
        <v>1687998.6491699212</v>
      </c>
      <c r="I39" s="6"/>
    </row>
    <row r="40" spans="1:18" x14ac:dyDescent="0.3">
      <c r="A40" s="1">
        <v>5</v>
      </c>
      <c r="B40" s="1" t="s">
        <v>19</v>
      </c>
      <c r="C40">
        <v>1146.90002441406</v>
      </c>
      <c r="D40">
        <f>(C40-C29)/C29</f>
        <v>-7.6143697582464615E-3</v>
      </c>
      <c r="E40">
        <f>C40*$E$3</f>
        <v>3133330.8666992118</v>
      </c>
      <c r="I40" s="6"/>
    </row>
    <row r="41" spans="1:18" x14ac:dyDescent="0.3">
      <c r="A41" s="1">
        <v>6</v>
      </c>
      <c r="B41" s="1" t="s">
        <v>10</v>
      </c>
      <c r="C41">
        <v>3683.89990234375</v>
      </c>
      <c r="D41">
        <f>(C41-C30)/C30</f>
        <v>1.0699882313619135E-2</v>
      </c>
      <c r="E41">
        <f>C41*$E$3</f>
        <v>10064414.533203125</v>
      </c>
      <c r="I41" s="6"/>
    </row>
    <row r="42" spans="1:18" x14ac:dyDescent="0.3">
      <c r="A42" s="1">
        <v>7</v>
      </c>
      <c r="B42" s="1" t="s">
        <v>20</v>
      </c>
      <c r="C42">
        <v>1375</v>
      </c>
      <c r="D42">
        <f>(C42-C31)/C31</f>
        <v>1.1401250459727841E-2</v>
      </c>
      <c r="E42">
        <f>C42*$E$3</f>
        <v>3756500</v>
      </c>
      <c r="I42" s="6"/>
    </row>
    <row r="43" spans="1:18" x14ac:dyDescent="0.3">
      <c r="D43">
        <f>SUM(D36:D42)</f>
        <v>2.9657944645054189E-2</v>
      </c>
      <c r="E43">
        <f>SUM(E36:E42)</f>
        <v>85868841.182373032</v>
      </c>
    </row>
    <row r="45" spans="1:18" x14ac:dyDescent="0.3">
      <c r="B45" s="15">
        <v>46157</v>
      </c>
    </row>
    <row r="46" spans="1:18" x14ac:dyDescent="0.3">
      <c r="A46" s="1" t="s">
        <v>1</v>
      </c>
      <c r="B46" s="1" t="s">
        <v>48</v>
      </c>
      <c r="C46" s="1" t="s">
        <v>49</v>
      </c>
      <c r="D46" s="1" t="s">
        <v>69</v>
      </c>
      <c r="E46" s="1" t="s">
        <v>90</v>
      </c>
      <c r="H46" s="1" t="s">
        <v>81</v>
      </c>
      <c r="I46">
        <f>E54/10000000</f>
        <v>8.9964466523437476</v>
      </c>
    </row>
    <row r="47" spans="1:18" x14ac:dyDescent="0.3">
      <c r="A47" s="1">
        <v>1</v>
      </c>
      <c r="B47" s="1" t="s">
        <v>9</v>
      </c>
      <c r="C47">
        <v>7352</v>
      </c>
      <c r="D47">
        <f>(C47-C36)/C36</f>
        <v>-3.0510543087666959E-3</v>
      </c>
      <c r="E47">
        <f>C47*$E$3</f>
        <v>20085664</v>
      </c>
    </row>
    <row r="48" spans="1:18" x14ac:dyDescent="0.3">
      <c r="A48" s="1">
        <v>2</v>
      </c>
      <c r="B48" s="1" t="s">
        <v>7</v>
      </c>
      <c r="C48">
        <v>17314</v>
      </c>
      <c r="D48">
        <f>(C48-C37)/C37</f>
        <v>9.6725153607398487E-2</v>
      </c>
      <c r="E48">
        <f>C48*$E$3</f>
        <v>47301848</v>
      </c>
    </row>
    <row r="49" spans="1:9" x14ac:dyDescent="0.3">
      <c r="A49" s="1">
        <v>3</v>
      </c>
      <c r="B49" s="1" t="s">
        <v>6</v>
      </c>
      <c r="C49">
        <v>1467.69995117187</v>
      </c>
      <c r="D49">
        <f>(C49-C38)/C38</f>
        <v>1.5287753153829743E-2</v>
      </c>
      <c r="E49">
        <f>C49*$E$3</f>
        <v>4009756.266601549</v>
      </c>
    </row>
    <row r="50" spans="1:9" x14ac:dyDescent="0.3">
      <c r="A50" s="1">
        <v>4</v>
      </c>
      <c r="B50" s="1" t="s">
        <v>12</v>
      </c>
      <c r="C50">
        <v>595.192626953125</v>
      </c>
      <c r="D50">
        <f>(C50-C39)/C39</f>
        <v>-3.6689835246277717E-2</v>
      </c>
      <c r="E50">
        <f>C50*$E$3</f>
        <v>1626066.2568359375</v>
      </c>
      <c r="I50" s="6"/>
    </row>
    <row r="51" spans="1:9" x14ac:dyDescent="0.3">
      <c r="A51" s="1">
        <v>5</v>
      </c>
      <c r="B51" s="1" t="s">
        <v>19</v>
      </c>
      <c r="C51">
        <v>1111.5</v>
      </c>
      <c r="D51">
        <f>(C51-C40)/C40</f>
        <v>-3.0865832819338829E-2</v>
      </c>
      <c r="E51">
        <f>C51*$E$3</f>
        <v>3036618</v>
      </c>
      <c r="I51" s="6"/>
    </row>
    <row r="52" spans="1:9" x14ac:dyDescent="0.3">
      <c r="A52" s="1">
        <v>6</v>
      </c>
      <c r="B52" s="1" t="s">
        <v>10</v>
      </c>
      <c r="C52">
        <v>3713.5</v>
      </c>
      <c r="D52">
        <f>(C52-C41)/C41</f>
        <v>8.0349896688066882E-3</v>
      </c>
      <c r="E52">
        <f>C52*$E$3</f>
        <v>10145282</v>
      </c>
      <c r="I52" s="6"/>
    </row>
    <row r="53" spans="1:9" x14ac:dyDescent="0.3">
      <c r="A53" s="1">
        <v>7</v>
      </c>
      <c r="B53" s="1" t="s">
        <v>20</v>
      </c>
      <c r="C53">
        <v>1376</v>
      </c>
      <c r="D53">
        <f>(C53-C42)/C42</f>
        <v>7.2727272727272723E-4</v>
      </c>
      <c r="E53">
        <f>C53*$E$3</f>
        <v>3759232</v>
      </c>
      <c r="I53" s="6"/>
    </row>
    <row r="54" spans="1:9" x14ac:dyDescent="0.3">
      <c r="D54">
        <f>SUM(D47:D53)</f>
        <v>5.0168446782924404E-2</v>
      </c>
      <c r="E54">
        <f>SUM(E47:E53)</f>
        <v>89964466.523437485</v>
      </c>
    </row>
    <row r="57" spans="1:9" x14ac:dyDescent="0.3">
      <c r="B57" s="15">
        <v>46160</v>
      </c>
    </row>
    <row r="58" spans="1:9" x14ac:dyDescent="0.3">
      <c r="A58" s="1" t="s">
        <v>1</v>
      </c>
      <c r="B58" s="1" t="s">
        <v>48</v>
      </c>
      <c r="C58" s="1" t="s">
        <v>49</v>
      </c>
      <c r="D58" s="1" t="s">
        <v>69</v>
      </c>
      <c r="E58" s="1" t="s">
        <v>90</v>
      </c>
      <c r="H58" s="1" t="s">
        <v>81</v>
      </c>
      <c r="I58">
        <f>E66/10000000</f>
        <v>9.1280089103759732</v>
      </c>
    </row>
    <row r="59" spans="1:9" x14ac:dyDescent="0.3">
      <c r="A59" s="1">
        <v>1</v>
      </c>
      <c r="B59" s="1" t="s">
        <v>9</v>
      </c>
      <c r="C59">
        <v>7221</v>
      </c>
      <c r="D59">
        <f>(C59-C48)/C48</f>
        <v>-0.58293866235416425</v>
      </c>
      <c r="E59">
        <f>C59*$E$3</f>
        <v>19727772</v>
      </c>
    </row>
    <row r="60" spans="1:9" x14ac:dyDescent="0.3">
      <c r="A60" s="1">
        <v>2</v>
      </c>
      <c r="B60" s="1" t="s">
        <v>7</v>
      </c>
      <c r="C60">
        <v>18019</v>
      </c>
      <c r="D60">
        <f>(C60-C49)/C49</f>
        <v>11.277032499464834</v>
      </c>
      <c r="E60">
        <f>C60*$E$3</f>
        <v>49227908</v>
      </c>
    </row>
    <row r="61" spans="1:9" x14ac:dyDescent="0.3">
      <c r="A61" s="1">
        <v>3</v>
      </c>
      <c r="B61" s="1" t="s">
        <v>6</v>
      </c>
      <c r="C61">
        <v>1450.19995117187</v>
      </c>
      <c r="D61">
        <f>(C61-C50)/C50</f>
        <v>1.4365220358922255</v>
      </c>
      <c r="E61">
        <f>C61*$E$3</f>
        <v>3961946.266601549</v>
      </c>
    </row>
    <row r="62" spans="1:9" x14ac:dyDescent="0.3">
      <c r="A62" s="1">
        <v>4</v>
      </c>
      <c r="B62" s="1" t="s">
        <v>12</v>
      </c>
      <c r="C62">
        <v>550.75286865234295</v>
      </c>
      <c r="D62">
        <f>(C62-C51)/C51</f>
        <v>-0.50449584466725783</v>
      </c>
      <c r="E62">
        <f>C62*$E$3</f>
        <v>1504656.837158201</v>
      </c>
      <c r="I62" s="6"/>
    </row>
    <row r="63" spans="1:9" x14ac:dyDescent="0.3">
      <c r="A63" s="1">
        <v>5</v>
      </c>
      <c r="B63" s="1" t="s">
        <v>19</v>
      </c>
      <c r="C63">
        <v>1114.90002441406</v>
      </c>
      <c r="D63">
        <f>(C63-C52)/C52</f>
        <v>-0.69977109885174105</v>
      </c>
      <c r="E63">
        <f>C63*$E$3</f>
        <v>3045906.8666992118</v>
      </c>
      <c r="I63" s="6"/>
    </row>
    <row r="64" spans="1:9" x14ac:dyDescent="0.3">
      <c r="A64" s="1">
        <v>6</v>
      </c>
      <c r="B64" s="1" t="s">
        <v>10</v>
      </c>
      <c r="C64">
        <v>3694.5</v>
      </c>
      <c r="D64">
        <f>(C64-C53)/C53</f>
        <v>1.6849563953488371</v>
      </c>
      <c r="E64">
        <f>C64*$E$3</f>
        <v>10093374</v>
      </c>
      <c r="I64" s="6"/>
    </row>
    <row r="65" spans="1:9" x14ac:dyDescent="0.3">
      <c r="A65" s="1">
        <v>7</v>
      </c>
      <c r="B65" s="1" t="s">
        <v>20</v>
      </c>
      <c r="C65">
        <v>1361.09997558593</v>
      </c>
      <c r="D65" t="e">
        <f>(C65-C54)/C54</f>
        <v>#DIV/0!</v>
      </c>
      <c r="E65">
        <f>C65*$E$3</f>
        <v>3718525.1333007608</v>
      </c>
      <c r="I65" s="6"/>
    </row>
    <row r="66" spans="1:9" x14ac:dyDescent="0.3">
      <c r="D66" t="e">
        <f>SUM(D59:D65)</f>
        <v>#DIV/0!</v>
      </c>
      <c r="E66">
        <f>SUM(E59:E65)</f>
        <v>91280089.103759736</v>
      </c>
    </row>
    <row r="68" spans="1:9" x14ac:dyDescent="0.3">
      <c r="B68" s="15">
        <v>46161</v>
      </c>
    </row>
    <row r="69" spans="1:9" x14ac:dyDescent="0.3">
      <c r="A69" s="1" t="s">
        <v>1</v>
      </c>
      <c r="B69" s="1" t="s">
        <v>48</v>
      </c>
      <c r="C69" s="1" t="s">
        <v>49</v>
      </c>
      <c r="D69" s="1" t="s">
        <v>69</v>
      </c>
      <c r="E69" s="1" t="s">
        <v>90</v>
      </c>
      <c r="H69" s="1" t="s">
        <v>81</v>
      </c>
      <c r="I69">
        <f>E77/10000000</f>
        <v>9.2116719415283193</v>
      </c>
    </row>
    <row r="70" spans="1:9" x14ac:dyDescent="0.3">
      <c r="A70" s="1">
        <v>1</v>
      </c>
      <c r="B70" s="1" t="s">
        <v>9</v>
      </c>
      <c r="C70">
        <v>7377.5</v>
      </c>
      <c r="D70">
        <f>(C70-C59)/C59</f>
        <v>2.1672898490513778E-2</v>
      </c>
      <c r="E70">
        <f>C70*$E$3</f>
        <v>20155330</v>
      </c>
    </row>
    <row r="71" spans="1:9" x14ac:dyDescent="0.3">
      <c r="A71" s="1">
        <v>2</v>
      </c>
      <c r="B71" s="1" t="s">
        <v>7</v>
      </c>
      <c r="C71">
        <v>18116</v>
      </c>
      <c r="D71">
        <f>(C71-C60)/C60</f>
        <v>5.3832066152394694E-3</v>
      </c>
      <c r="E71">
        <f>C71*$E$3</f>
        <v>49492912</v>
      </c>
    </row>
    <row r="72" spans="1:9" x14ac:dyDescent="0.3">
      <c r="A72" s="1">
        <v>3</v>
      </c>
      <c r="B72" s="1" t="s">
        <v>6</v>
      </c>
      <c r="C72">
        <v>1455.80004882812</v>
      </c>
      <c r="D72">
        <f>(C72-C61)/C61</f>
        <v>3.861603809684797E-3</v>
      </c>
      <c r="E72">
        <f>C72*$E$3</f>
        <v>3977245.733398424</v>
      </c>
    </row>
    <row r="73" spans="1:9" x14ac:dyDescent="0.3">
      <c r="A73" s="1">
        <v>4</v>
      </c>
      <c r="B73" s="1" t="s">
        <v>12</v>
      </c>
      <c r="C73">
        <v>562.98626708984295</v>
      </c>
      <c r="D73">
        <f>(C73-C62)/C62</f>
        <v>2.221213748270498E-2</v>
      </c>
      <c r="E73">
        <f>C73*$E$3</f>
        <v>1538078.481689451</v>
      </c>
      <c r="I73" s="6"/>
    </row>
    <row r="74" spans="1:9" x14ac:dyDescent="0.3">
      <c r="A74" s="1">
        <v>5</v>
      </c>
      <c r="B74" s="1" t="s">
        <v>19</v>
      </c>
      <c r="C74">
        <v>1095.90002441406</v>
      </c>
      <c r="D74">
        <f>(C74-C63)/C63</f>
        <v>-1.7041886791585213E-2</v>
      </c>
      <c r="E74">
        <f>C74*$E$3</f>
        <v>2993998.8666992118</v>
      </c>
      <c r="I74" s="6"/>
    </row>
    <row r="75" spans="1:9" x14ac:dyDescent="0.3">
      <c r="A75" s="1">
        <v>6</v>
      </c>
      <c r="B75" s="1" t="s">
        <v>10</v>
      </c>
      <c r="C75">
        <v>3748.10009765625</v>
      </c>
      <c r="D75">
        <f>(C75-C64)/C64</f>
        <v>1.4508078943361754E-2</v>
      </c>
      <c r="E75">
        <f>C75*$E$3</f>
        <v>10239809.466796875</v>
      </c>
      <c r="I75" s="6"/>
    </row>
    <row r="76" spans="1:9" x14ac:dyDescent="0.3">
      <c r="A76" s="1">
        <v>7</v>
      </c>
      <c r="B76" s="1" t="s">
        <v>20</v>
      </c>
      <c r="C76">
        <v>1361.40002441406</v>
      </c>
      <c r="D76">
        <f>(C76-C65)/C65</f>
        <v>2.2044584050546058E-4</v>
      </c>
      <c r="E76">
        <f>C76*$E$3</f>
        <v>3719344.8666992118</v>
      </c>
      <c r="I76" s="6"/>
    </row>
    <row r="77" spans="1:9" x14ac:dyDescent="0.3">
      <c r="D77">
        <f>SUM(D70:D76)</f>
        <v>5.0816484390425028E-2</v>
      </c>
      <c r="E77">
        <f>SUM(E70:E76)</f>
        <v>92116719.415283188</v>
      </c>
    </row>
    <row r="79" spans="1:9" x14ac:dyDescent="0.3">
      <c r="B79" s="15">
        <v>46162</v>
      </c>
    </row>
    <row r="80" spans="1:9" x14ac:dyDescent="0.3">
      <c r="A80" s="1" t="s">
        <v>1</v>
      </c>
      <c r="B80" s="1" t="s">
        <v>48</v>
      </c>
      <c r="C80" s="1" t="s">
        <v>49</v>
      </c>
      <c r="D80" s="1" t="s">
        <v>69</v>
      </c>
      <c r="E80" s="1" t="s">
        <v>90</v>
      </c>
      <c r="H80" s="1" t="s">
        <v>81</v>
      </c>
      <c r="I80">
        <f>E88/10000000</f>
        <v>9.2097120016601526</v>
      </c>
    </row>
    <row r="81" spans="1:9" x14ac:dyDescent="0.3">
      <c r="A81" s="1">
        <v>1</v>
      </c>
      <c r="B81" s="1" t="s">
        <v>9</v>
      </c>
      <c r="C81">
        <v>7256.5</v>
      </c>
      <c r="D81">
        <f>(C81-C70)/C70</f>
        <v>-1.6401219925449E-2</v>
      </c>
      <c r="E81">
        <f>C81*$E$3</f>
        <v>19824758</v>
      </c>
    </row>
    <row r="82" spans="1:9" x14ac:dyDescent="0.3">
      <c r="A82" s="1">
        <v>2</v>
      </c>
      <c r="B82" s="1" t="s">
        <v>7</v>
      </c>
      <c r="C82">
        <v>18210</v>
      </c>
      <c r="D82">
        <f>(C82-C71)/C71</f>
        <v>5.1887833958931331E-3</v>
      </c>
      <c r="E82">
        <f>C82*$E$3</f>
        <v>49749720</v>
      </c>
    </row>
    <row r="83" spans="1:9" x14ac:dyDescent="0.3">
      <c r="A83" s="1">
        <v>3</v>
      </c>
      <c r="B83" s="1" t="s">
        <v>6</v>
      </c>
      <c r="C83">
        <v>1455.59997558593</v>
      </c>
      <c r="D83">
        <f>(C83-C72)/C72</f>
        <v>-1.374318144521665E-4</v>
      </c>
      <c r="E83">
        <f>C83*$E$3</f>
        <v>3976699.1333007608</v>
      </c>
    </row>
    <row r="84" spans="1:9" x14ac:dyDescent="0.3">
      <c r="A84" s="1">
        <v>4</v>
      </c>
      <c r="B84" s="1" t="s">
        <v>12</v>
      </c>
      <c r="C84">
        <v>580.61242675781205</v>
      </c>
      <c r="D84">
        <f>(C84-C73)/C73</f>
        <v>3.1308329702394423E-2</v>
      </c>
      <c r="E84">
        <f>C84*$E$3</f>
        <v>1586233.1499023426</v>
      </c>
      <c r="I84" s="6"/>
    </row>
    <row r="85" spans="1:9" x14ac:dyDescent="0.3">
      <c r="A85" s="1">
        <v>5</v>
      </c>
      <c r="B85" s="1" t="s">
        <v>19</v>
      </c>
      <c r="C85">
        <v>1085.5</v>
      </c>
      <c r="D85">
        <f>(C85-C74)/C74</f>
        <v>-9.4899390294479954E-3</v>
      </c>
      <c r="E85">
        <f>C85*$E$3</f>
        <v>2965586</v>
      </c>
      <c r="I85" s="6"/>
    </row>
    <row r="86" spans="1:9" x14ac:dyDescent="0.3">
      <c r="A86" s="1">
        <v>6</v>
      </c>
      <c r="B86" s="1" t="s">
        <v>10</v>
      </c>
      <c r="C86">
        <v>3750.80004882812</v>
      </c>
      <c r="D86">
        <f>(C86-C75)/C75</f>
        <v>7.2035193872178676E-4</v>
      </c>
      <c r="E86">
        <f>C86*$E$3</f>
        <v>10247185.733398424</v>
      </c>
      <c r="I86" s="6"/>
    </row>
    <row r="87" spans="1:9" x14ac:dyDescent="0.3">
      <c r="A87" s="1">
        <v>7</v>
      </c>
      <c r="B87" s="1" t="s">
        <v>20</v>
      </c>
      <c r="C87">
        <v>1371.5</v>
      </c>
      <c r="D87">
        <f>(C87-C76)/C76</f>
        <v>7.4188154875984976E-3</v>
      </c>
      <c r="E87">
        <f>C87*$E$3</f>
        <v>3746938</v>
      </c>
      <c r="I87" s="6"/>
    </row>
    <row r="88" spans="1:9" x14ac:dyDescent="0.3">
      <c r="D88">
        <f>SUM(D81:D87)</f>
        <v>1.8607689755258679E-2</v>
      </c>
      <c r="E88">
        <f>SUM(E81:E87)</f>
        <v>92097120.016601533</v>
      </c>
    </row>
    <row r="90" spans="1:9" x14ac:dyDescent="0.3">
      <c r="B90" s="15">
        <v>46163</v>
      </c>
    </row>
    <row r="91" spans="1:9" x14ac:dyDescent="0.3">
      <c r="A91" s="1" t="s">
        <v>1</v>
      </c>
      <c r="B91" s="1" t="s">
        <v>48</v>
      </c>
      <c r="C91" s="1" t="s">
        <v>49</v>
      </c>
      <c r="D91" s="1" t="s">
        <v>69</v>
      </c>
      <c r="E91" s="1" t="s">
        <v>90</v>
      </c>
      <c r="H91" s="1" t="s">
        <v>81</v>
      </c>
      <c r="I91">
        <f>E99/10000000</f>
        <v>9.2930209266601516</v>
      </c>
    </row>
    <row r="92" spans="1:9" x14ac:dyDescent="0.3">
      <c r="A92" s="1">
        <v>1</v>
      </c>
      <c r="B92" s="1" t="s">
        <v>9</v>
      </c>
      <c r="C92">
        <v>7276.5</v>
      </c>
      <c r="D92">
        <f>(C92-C81)/C81</f>
        <v>2.7561496589264796E-3</v>
      </c>
      <c r="E92">
        <f>C92*$E$3</f>
        <v>19879398</v>
      </c>
    </row>
    <row r="93" spans="1:9" x14ac:dyDescent="0.3">
      <c r="A93" s="1">
        <v>2</v>
      </c>
      <c r="B93" s="1" t="s">
        <v>7</v>
      </c>
      <c r="C93">
        <v>18392</v>
      </c>
      <c r="D93">
        <f>(C93-C82)/C82</f>
        <v>9.9945085118067004E-3</v>
      </c>
      <c r="E93">
        <f>C93*$E$3</f>
        <v>50246944</v>
      </c>
    </row>
    <row r="94" spans="1:9" x14ac:dyDescent="0.3">
      <c r="A94" s="1">
        <v>3</v>
      </c>
      <c r="B94" s="1" t="s">
        <v>6</v>
      </c>
      <c r="C94">
        <v>1472.80004882812</v>
      </c>
      <c r="D94">
        <f>(C94-C83)/C83</f>
        <v>1.1816483601730186E-2</v>
      </c>
      <c r="E94">
        <f>C94*$E$3</f>
        <v>4023689.733398424</v>
      </c>
    </row>
    <row r="95" spans="1:9" x14ac:dyDescent="0.3">
      <c r="A95" s="1">
        <v>4</v>
      </c>
      <c r="B95" s="1" t="s">
        <v>12</v>
      </c>
      <c r="C95">
        <v>589.75</v>
      </c>
      <c r="D95">
        <f>(C95-C84)/C84</f>
        <v>1.5737818932352036E-2</v>
      </c>
      <c r="E95">
        <f>C95*$E$3</f>
        <v>1611197</v>
      </c>
      <c r="I95" s="6"/>
    </row>
    <row r="96" spans="1:9" x14ac:dyDescent="0.3">
      <c r="A96" s="1">
        <v>5</v>
      </c>
      <c r="B96" s="1" t="s">
        <v>19</v>
      </c>
      <c r="C96">
        <v>1082.80004882812</v>
      </c>
      <c r="D96">
        <f>(C96-C85)/C85</f>
        <v>-2.4872880441087078E-3</v>
      </c>
      <c r="E96">
        <f>C96*$E$3</f>
        <v>2958209.733398424</v>
      </c>
      <c r="I96" s="6"/>
    </row>
    <row r="97" spans="1:14" x14ac:dyDescent="0.3">
      <c r="A97" s="1">
        <v>6</v>
      </c>
      <c r="B97" s="1" t="s">
        <v>10</v>
      </c>
      <c r="C97">
        <v>3827.39990234375</v>
      </c>
      <c r="D97">
        <f>(C97-C86)/C86</f>
        <v>2.0422270587194445E-2</v>
      </c>
      <c r="E97">
        <f>C97*$E$3</f>
        <v>10456456.533203125</v>
      </c>
      <c r="I97" s="6"/>
    </row>
    <row r="98" spans="1:14" x14ac:dyDescent="0.3">
      <c r="A98" s="1">
        <v>7</v>
      </c>
      <c r="B98" s="1" t="s">
        <v>20</v>
      </c>
      <c r="C98">
        <v>1374.19995117187</v>
      </c>
      <c r="D98">
        <f>(C98-C87)/C87</f>
        <v>1.9686118642872749E-3</v>
      </c>
      <c r="E98">
        <f>C98*$E$3</f>
        <v>3754314.266601549</v>
      </c>
      <c r="I98" s="6"/>
    </row>
    <row r="99" spans="1:14" x14ac:dyDescent="0.3">
      <c r="D99">
        <f>SUM(D92:D98)</f>
        <v>6.0208555112188415E-2</v>
      </c>
      <c r="E99">
        <f>SUM(E92:E98)</f>
        <v>92930209.266601518</v>
      </c>
    </row>
    <row r="101" spans="1:14" x14ac:dyDescent="0.3">
      <c r="B101" s="15">
        <v>46164</v>
      </c>
    </row>
    <row r="102" spans="1:14" x14ac:dyDescent="0.3">
      <c r="A102" s="1" t="s">
        <v>1</v>
      </c>
      <c r="B102" s="1" t="s">
        <v>48</v>
      </c>
      <c r="C102" s="1" t="s">
        <v>49</v>
      </c>
      <c r="D102" s="1" t="s">
        <v>69</v>
      </c>
      <c r="E102" s="1" t="s">
        <v>90</v>
      </c>
      <c r="H102" s="1" t="s">
        <v>81</v>
      </c>
      <c r="I102">
        <f>E110/10000000</f>
        <v>9.1989035600528801</v>
      </c>
    </row>
    <row r="103" spans="1:14" x14ac:dyDescent="0.3">
      <c r="A103" s="1">
        <v>1</v>
      </c>
      <c r="B103" s="1" t="s">
        <v>9</v>
      </c>
      <c r="C103">
        <v>7222</v>
      </c>
      <c r="D103">
        <f>(C103-C92)/C92</f>
        <v>-7.4898646327217757E-3</v>
      </c>
      <c r="E103">
        <f>C103*$E$3</f>
        <v>19730504</v>
      </c>
    </row>
    <row r="104" spans="1:14" x14ac:dyDescent="0.3">
      <c r="A104" s="1">
        <v>2</v>
      </c>
      <c r="B104" s="1" t="s">
        <v>7</v>
      </c>
      <c r="C104">
        <v>18132</v>
      </c>
      <c r="D104">
        <f>(C104-C93)/C93</f>
        <v>-1.4136581122227055E-2</v>
      </c>
      <c r="E104">
        <f>C104*$E$3</f>
        <v>49536624</v>
      </c>
    </row>
    <row r="105" spans="1:14" x14ac:dyDescent="0.3">
      <c r="A105" s="1">
        <v>3</v>
      </c>
      <c r="B105" s="1" t="s">
        <v>6</v>
      </c>
      <c r="C105">
        <v>1478.400024</v>
      </c>
      <c r="D105">
        <f>(C105-C94)/C94</f>
        <v>3.8022643849963409E-3</v>
      </c>
      <c r="E105">
        <f>C105*$E$3</f>
        <v>4038988.8655679999</v>
      </c>
    </row>
    <row r="106" spans="1:14" x14ac:dyDescent="0.3">
      <c r="A106" s="1">
        <v>4</v>
      </c>
      <c r="B106" s="1" t="s">
        <v>12</v>
      </c>
      <c r="C106">
        <v>587.15002440000001</v>
      </c>
      <c r="D106">
        <f>(C106-C95)/C95</f>
        <v>-4.4086063586265259E-3</v>
      </c>
      <c r="E106">
        <f>C106*$E$3</f>
        <v>1604093.8666608001</v>
      </c>
      <c r="I106" s="6"/>
      <c r="N106" s="1"/>
    </row>
    <row r="107" spans="1:14" x14ac:dyDescent="0.3">
      <c r="A107" s="1">
        <v>5</v>
      </c>
      <c r="B107" s="1" t="s">
        <v>19</v>
      </c>
      <c r="C107">
        <v>1051.3000489999999</v>
      </c>
      <c r="D107">
        <f>(C107-C96)/C96</f>
        <v>-2.9091243449990142E-2</v>
      </c>
      <c r="E107">
        <f>C107*$E$3</f>
        <v>2872151.7338679996</v>
      </c>
      <c r="I107" s="6"/>
      <c r="N107" s="1"/>
    </row>
    <row r="108" spans="1:14" x14ac:dyDescent="0.3">
      <c r="A108" s="1">
        <v>6</v>
      </c>
      <c r="B108" s="1" t="s">
        <v>10</v>
      </c>
      <c r="C108">
        <v>3834</v>
      </c>
      <c r="D108">
        <f>(C108-C97)/C97</f>
        <v>1.7244337734889836E-3</v>
      </c>
      <c r="E108">
        <f>C108*$E$3</f>
        <v>10474488</v>
      </c>
      <c r="I108" s="6"/>
    </row>
    <row r="109" spans="1:14" x14ac:dyDescent="0.3">
      <c r="A109" s="1">
        <v>7</v>
      </c>
      <c r="B109" s="1" t="s">
        <v>20</v>
      </c>
      <c r="C109">
        <v>1366.099976</v>
      </c>
      <c r="D109">
        <f>(C109-C98)/C98</f>
        <v>-5.8943206663358196E-3</v>
      </c>
      <c r="E109">
        <f>C109*$E$3</f>
        <v>3732185.1344320001</v>
      </c>
      <c r="I109" s="6"/>
    </row>
    <row r="110" spans="1:14" x14ac:dyDescent="0.3">
      <c r="D110">
        <f>SUM(D103:D109)</f>
        <v>-5.5493918071415994E-2</v>
      </c>
      <c r="E110">
        <f>SUM(E103:E109)</f>
        <v>91989035.600528806</v>
      </c>
    </row>
    <row r="112" spans="1:14" x14ac:dyDescent="0.3">
      <c r="B112" s="15">
        <v>46167</v>
      </c>
      <c r="N112" s="1"/>
    </row>
    <row r="113" spans="1:14" x14ac:dyDescent="0.3">
      <c r="A113" s="1" t="s">
        <v>1</v>
      </c>
      <c r="B113" s="1" t="s">
        <v>48</v>
      </c>
      <c r="C113" s="1" t="s">
        <v>49</v>
      </c>
      <c r="D113" s="1" t="s">
        <v>69</v>
      </c>
      <c r="E113" s="1" t="s">
        <v>90</v>
      </c>
      <c r="H113" s="1" t="s">
        <v>81</v>
      </c>
      <c r="I113">
        <f>E121/10000000</f>
        <v>9.2834588932828002</v>
      </c>
      <c r="N113" s="1"/>
    </row>
    <row r="114" spans="1:14" x14ac:dyDescent="0.3">
      <c r="A114" s="1">
        <v>1</v>
      </c>
      <c r="B114" s="1" t="s">
        <v>9</v>
      </c>
      <c r="C114">
        <v>7255</v>
      </c>
      <c r="D114">
        <f>(C114-C103)/C103</f>
        <v>4.5693713652727773E-3</v>
      </c>
      <c r="E114">
        <f>C114*$E$3</f>
        <v>19820660</v>
      </c>
      <c r="N114" s="1"/>
    </row>
    <row r="115" spans="1:14" x14ac:dyDescent="0.3">
      <c r="A115" s="1">
        <v>2</v>
      </c>
      <c r="B115" s="1" t="s">
        <v>7</v>
      </c>
      <c r="C115">
        <v>18377</v>
      </c>
      <c r="D115">
        <f>(C115-C104)/C104</f>
        <v>1.3512022942863446E-2</v>
      </c>
      <c r="E115">
        <f>C115*$E$3</f>
        <v>50205964</v>
      </c>
    </row>
    <row r="116" spans="1:14" x14ac:dyDescent="0.3">
      <c r="A116" s="1">
        <v>3</v>
      </c>
      <c r="B116" s="1" t="s">
        <v>6</v>
      </c>
      <c r="C116">
        <v>1477.1999510000001</v>
      </c>
      <c r="D116">
        <f>(C116-C105)/C105</f>
        <v>-8.1173767621636273E-4</v>
      </c>
      <c r="E116">
        <f>C116*$E$3</f>
        <v>4035710.2661320004</v>
      </c>
      <c r="N116" s="1"/>
    </row>
    <row r="117" spans="1:14" x14ac:dyDescent="0.3">
      <c r="A117" s="1">
        <v>4</v>
      </c>
      <c r="B117" s="1" t="s">
        <v>12</v>
      </c>
      <c r="C117">
        <v>593.25</v>
      </c>
      <c r="D117">
        <f>(C117-C106)/C106</f>
        <v>1.0389126026578077E-2</v>
      </c>
      <c r="E117">
        <f>C117*$E$3</f>
        <v>1620759</v>
      </c>
      <c r="I117" s="6"/>
      <c r="N117" s="1"/>
    </row>
    <row r="118" spans="1:14" x14ac:dyDescent="0.3">
      <c r="A118" s="1">
        <v>5</v>
      </c>
      <c r="B118" s="1" t="s">
        <v>19</v>
      </c>
      <c r="C118">
        <v>1074.5</v>
      </c>
      <c r="D118">
        <f>(C118-C107)/C107</f>
        <v>2.2067868276110066E-2</v>
      </c>
      <c r="E118">
        <f>C118*$E$3</f>
        <v>2935534</v>
      </c>
      <c r="I118" s="6"/>
    </row>
    <row r="119" spans="1:14" x14ac:dyDescent="0.3">
      <c r="A119" s="1">
        <v>6</v>
      </c>
      <c r="B119" s="1" t="s">
        <v>10</v>
      </c>
      <c r="C119">
        <v>3832.3999020000001</v>
      </c>
      <c r="D119">
        <f>(C119-C108)/C108</f>
        <v>-4.1734428794989282E-4</v>
      </c>
      <c r="E119">
        <f>C119*$E$3</f>
        <v>10470116.532264</v>
      </c>
      <c r="I119" s="6"/>
    </row>
    <row r="120" spans="1:14" x14ac:dyDescent="0.3">
      <c r="A120" s="1">
        <v>7</v>
      </c>
      <c r="B120" s="1" t="s">
        <v>20</v>
      </c>
      <c r="C120">
        <v>1371.099976</v>
      </c>
      <c r="D120">
        <f>(C120-C109)/C109</f>
        <v>3.6600542331024829E-3</v>
      </c>
      <c r="E120">
        <f>C120*$E$3</f>
        <v>3745845.1344320001</v>
      </c>
      <c r="I120" s="6"/>
    </row>
    <row r="121" spans="1:14" x14ac:dyDescent="0.3">
      <c r="D121">
        <f>SUM(D114:D120)</f>
        <v>5.2969360879760591E-2</v>
      </c>
      <c r="E121">
        <f>SUM(E114:E120)</f>
        <v>92834588.932827994</v>
      </c>
    </row>
    <row r="123" spans="1:14" x14ac:dyDescent="0.3">
      <c r="B123" s="15">
        <v>46168</v>
      </c>
    </row>
    <row r="124" spans="1:14" x14ac:dyDescent="0.3">
      <c r="A124" s="1" t="s">
        <v>1</v>
      </c>
      <c r="B124" s="1" t="s">
        <v>48</v>
      </c>
      <c r="C124" s="1" t="s">
        <v>49</v>
      </c>
      <c r="D124" s="1" t="s">
        <v>69</v>
      </c>
      <c r="E124" s="1" t="s">
        <v>90</v>
      </c>
      <c r="H124" s="1" t="s">
        <v>81</v>
      </c>
      <c r="I124">
        <f>E132/10000000</f>
        <v>9.3063940866660797</v>
      </c>
    </row>
    <row r="125" spans="1:14" x14ac:dyDescent="0.3">
      <c r="A125" s="1">
        <v>1</v>
      </c>
      <c r="B125" s="1" t="s">
        <v>9</v>
      </c>
      <c r="C125">
        <v>7248.5</v>
      </c>
      <c r="D125">
        <f>(C125-C114)/C114</f>
        <v>-8.9593383873190903E-4</v>
      </c>
      <c r="E125">
        <f>C125*$E$3</f>
        <v>19802902</v>
      </c>
    </row>
    <row r="126" spans="1:14" x14ac:dyDescent="0.3">
      <c r="A126" s="1">
        <v>2</v>
      </c>
      <c r="B126" s="1" t="s">
        <v>7</v>
      </c>
      <c r="C126">
        <v>18479</v>
      </c>
      <c r="D126">
        <f>(C126-C115)/C115</f>
        <v>5.5504162812210914E-3</v>
      </c>
      <c r="E126">
        <f>C126*$E$3</f>
        <v>50484628</v>
      </c>
    </row>
    <row r="127" spans="1:14" x14ac:dyDescent="0.3">
      <c r="A127" s="1">
        <v>3</v>
      </c>
      <c r="B127" s="1" t="s">
        <v>6</v>
      </c>
      <c r="C127">
        <v>1478.5</v>
      </c>
      <c r="D127">
        <f>(C127-C116)/C116</f>
        <v>8.8007652526651381E-4</v>
      </c>
      <c r="E127">
        <f>C127*$E$3</f>
        <v>4039262</v>
      </c>
    </row>
    <row r="128" spans="1:14" x14ac:dyDescent="0.3">
      <c r="A128" s="1">
        <v>4</v>
      </c>
      <c r="B128" s="1" t="s">
        <v>12</v>
      </c>
      <c r="C128">
        <v>606.40002440000001</v>
      </c>
      <c r="D128">
        <f>(C128-C117)/C117</f>
        <v>2.21660756847872E-2</v>
      </c>
      <c r="E128">
        <f>C128*$E$3</f>
        <v>1656684.8666608001</v>
      </c>
      <c r="I128" s="6"/>
    </row>
    <row r="129" spans="1:9" x14ac:dyDescent="0.3">
      <c r="A129" s="1">
        <v>5</v>
      </c>
      <c r="B129" s="1" t="s">
        <v>19</v>
      </c>
      <c r="C129">
        <v>1097.5</v>
      </c>
      <c r="D129">
        <f>(C129-C118)/C118</f>
        <v>2.1405304792926943E-2</v>
      </c>
      <c r="E129">
        <f>C129*$E$3</f>
        <v>2998370</v>
      </c>
      <c r="I129" s="6"/>
    </row>
    <row r="130" spans="1:9" x14ac:dyDescent="0.3">
      <c r="A130" s="1">
        <v>6</v>
      </c>
      <c r="B130" s="1" t="s">
        <v>10</v>
      </c>
      <c r="C130">
        <v>3784.1999510000001</v>
      </c>
      <c r="D130">
        <f>(C130-C119)/C119</f>
        <v>-1.2576962799431794E-2</v>
      </c>
      <c r="E130">
        <f>C130*$E$3</f>
        <v>10338434.266132001</v>
      </c>
      <c r="I130" s="6"/>
    </row>
    <row r="131" spans="1:9" x14ac:dyDescent="0.3">
      <c r="A131" s="1">
        <v>7</v>
      </c>
      <c r="B131" s="1" t="s">
        <v>20</v>
      </c>
      <c r="C131">
        <v>1370.3000489999999</v>
      </c>
      <c r="D131">
        <f>(C131-C120)/C120</f>
        <v>-5.8341989205900561E-4</v>
      </c>
      <c r="E131">
        <f>C131*$E$3</f>
        <v>3743659.7338679996</v>
      </c>
      <c r="I131" s="6"/>
    </row>
    <row r="132" spans="1:9" x14ac:dyDescent="0.3">
      <c r="D132">
        <f>SUM(D125:D131)</f>
        <v>3.5945556753979042E-2</v>
      </c>
      <c r="E132">
        <f>SUM(E125:E131)</f>
        <v>93063940.866660804</v>
      </c>
    </row>
    <row r="134" spans="1:9" x14ac:dyDescent="0.3">
      <c r="B134" s="15">
        <v>46169</v>
      </c>
    </row>
    <row r="135" spans="1:9" x14ac:dyDescent="0.3">
      <c r="A135" s="1" t="s">
        <v>1</v>
      </c>
      <c r="B135" s="1" t="s">
        <v>48</v>
      </c>
      <c r="C135" s="1" t="s">
        <v>49</v>
      </c>
      <c r="D135" s="1" t="s">
        <v>69</v>
      </c>
      <c r="E135" s="1" t="s">
        <v>90</v>
      </c>
      <c r="H135" s="1" t="s">
        <v>81</v>
      </c>
      <c r="I135">
        <f>E143/10000000</f>
        <v>9.3283320433330399</v>
      </c>
    </row>
    <row r="136" spans="1:9" x14ac:dyDescent="0.3">
      <c r="A136" s="1">
        <v>1</v>
      </c>
      <c r="B136" s="1" t="s">
        <v>9</v>
      </c>
      <c r="C136">
        <v>7259</v>
      </c>
      <c r="D136">
        <f>(C136-C125)/C125</f>
        <v>1.4485755673587638E-3</v>
      </c>
      <c r="E136">
        <f>C136*$E$3</f>
        <v>19831588</v>
      </c>
    </row>
    <row r="137" spans="1:9" x14ac:dyDescent="0.3">
      <c r="A137" s="1">
        <v>2</v>
      </c>
      <c r="B137" s="1" t="s">
        <v>7</v>
      </c>
      <c r="C137">
        <v>18653</v>
      </c>
      <c r="D137">
        <f>(C137-C126)/C126</f>
        <v>9.4160939444775157E-3</v>
      </c>
      <c r="E137">
        <f>C137*$E$3</f>
        <v>50959996</v>
      </c>
    </row>
    <row r="138" spans="1:9" x14ac:dyDescent="0.3">
      <c r="A138" s="1">
        <v>3</v>
      </c>
      <c r="B138" s="1" t="s">
        <v>6</v>
      </c>
      <c r="C138">
        <v>1480.6999510000001</v>
      </c>
      <c r="D138">
        <f>(C138-C127)/C127</f>
        <v>1.487961447412956E-3</v>
      </c>
      <c r="E138">
        <f>C138*$E$3</f>
        <v>4045272.2661320004</v>
      </c>
    </row>
    <row r="139" spans="1:9" x14ac:dyDescent="0.3">
      <c r="A139" s="1">
        <v>4</v>
      </c>
      <c r="B139" s="1" t="s">
        <v>12</v>
      </c>
      <c r="C139">
        <v>607.20001219999995</v>
      </c>
      <c r="D139">
        <f>(C139-C128)/C128</f>
        <v>1.3192410419037902E-3</v>
      </c>
      <c r="E139">
        <f>C139*$E$3</f>
        <v>1658870.4333303999</v>
      </c>
      <c r="I139" s="6"/>
    </row>
    <row r="140" spans="1:9" x14ac:dyDescent="0.3">
      <c r="A140" s="1">
        <v>5</v>
      </c>
      <c r="B140" s="1" t="s">
        <v>19</v>
      </c>
      <c r="C140">
        <v>1094.6999510000001</v>
      </c>
      <c r="D140">
        <f>(C140-C129)/C129</f>
        <v>-2.5512974943051885E-3</v>
      </c>
      <c r="E140">
        <f>C140*$E$3</f>
        <v>2990720.2661320004</v>
      </c>
      <c r="I140" s="6"/>
    </row>
    <row r="141" spans="1:9" x14ac:dyDescent="0.3">
      <c r="A141" s="1">
        <v>6</v>
      </c>
      <c r="B141" s="1" t="s">
        <v>10</v>
      </c>
      <c r="C141">
        <v>3682.1000979999999</v>
      </c>
      <c r="D141">
        <f>(C141-C130)/C130</f>
        <v>-2.6980565065812551E-2</v>
      </c>
      <c r="E141">
        <f>C141*$E$3</f>
        <v>10059497.467736</v>
      </c>
      <c r="I141" s="6"/>
    </row>
    <row r="142" spans="1:9" x14ac:dyDescent="0.3">
      <c r="A142" s="1">
        <v>7</v>
      </c>
      <c r="B142" s="1" t="s">
        <v>20</v>
      </c>
      <c r="C142">
        <v>1368</v>
      </c>
      <c r="D142">
        <f>(C142-C131)/C131</f>
        <v>-1.6785002683743935E-3</v>
      </c>
      <c r="E142">
        <f>C142*$E$3</f>
        <v>3737376</v>
      </c>
      <c r="I142" s="6"/>
    </row>
    <row r="143" spans="1:9" x14ac:dyDescent="0.3">
      <c r="D143">
        <f>SUM(D136:D142)</f>
        <v>-1.7538490827339107E-2</v>
      </c>
      <c r="E143">
        <f>SUM(E136:E142)</f>
        <v>93283320.433330402</v>
      </c>
    </row>
    <row r="145" spans="1:9" x14ac:dyDescent="0.3">
      <c r="B145" s="15">
        <v>46170</v>
      </c>
    </row>
    <row r="146" spans="1:9" x14ac:dyDescent="0.3">
      <c r="A146" s="1" t="s">
        <v>1</v>
      </c>
      <c r="B146" s="1" t="s">
        <v>48</v>
      </c>
      <c r="C146" s="1" t="s">
        <v>49</v>
      </c>
      <c r="D146" s="1" t="s">
        <v>69</v>
      </c>
      <c r="E146" s="1" t="s">
        <v>90</v>
      </c>
      <c r="H146" s="1" t="s">
        <v>81</v>
      </c>
      <c r="I146">
        <f>E154/10000000</f>
        <v>9.3283320433330399</v>
      </c>
    </row>
    <row r="147" spans="1:9" x14ac:dyDescent="0.3">
      <c r="A147" s="1">
        <v>1</v>
      </c>
      <c r="B147" s="1" t="s">
        <v>9</v>
      </c>
      <c r="C147">
        <v>7259</v>
      </c>
      <c r="D147">
        <f>(C147-C136)/C136</f>
        <v>0</v>
      </c>
      <c r="E147">
        <f>C147*$E$3</f>
        <v>19831588</v>
      </c>
    </row>
    <row r="148" spans="1:9" x14ac:dyDescent="0.3">
      <c r="A148" s="1">
        <v>2</v>
      </c>
      <c r="B148" s="1" t="s">
        <v>7</v>
      </c>
      <c r="C148">
        <v>18653</v>
      </c>
      <c r="D148">
        <f>(C148-C137)/C137</f>
        <v>0</v>
      </c>
      <c r="E148">
        <f>C148*$E$3</f>
        <v>50959996</v>
      </c>
    </row>
    <row r="149" spans="1:9" x14ac:dyDescent="0.3">
      <c r="A149" s="1">
        <v>3</v>
      </c>
      <c r="B149" s="1" t="s">
        <v>6</v>
      </c>
      <c r="C149">
        <v>1480.6999510000001</v>
      </c>
      <c r="D149">
        <f>(C149-C138)/C138</f>
        <v>0</v>
      </c>
      <c r="E149">
        <f>C149*$E$3</f>
        <v>4045272.2661320004</v>
      </c>
    </row>
    <row r="150" spans="1:9" x14ac:dyDescent="0.3">
      <c r="A150" s="1">
        <v>4</v>
      </c>
      <c r="B150" s="1" t="s">
        <v>12</v>
      </c>
      <c r="C150">
        <v>607.20001219999995</v>
      </c>
      <c r="D150">
        <f>(C150-C139)/C139</f>
        <v>0</v>
      </c>
      <c r="E150">
        <f>C150*$E$3</f>
        <v>1658870.4333303999</v>
      </c>
      <c r="I150" s="6"/>
    </row>
    <row r="151" spans="1:9" x14ac:dyDescent="0.3">
      <c r="A151" s="1">
        <v>5</v>
      </c>
      <c r="B151" s="1" t="s">
        <v>19</v>
      </c>
      <c r="C151">
        <v>1094.6999510000001</v>
      </c>
      <c r="D151">
        <f>(C151-C140)/C140</f>
        <v>0</v>
      </c>
      <c r="E151">
        <f>C151*$E$3</f>
        <v>2990720.2661320004</v>
      </c>
      <c r="I151" s="6"/>
    </row>
    <row r="152" spans="1:9" x14ac:dyDescent="0.3">
      <c r="A152" s="1">
        <v>6</v>
      </c>
      <c r="B152" s="1" t="s">
        <v>10</v>
      </c>
      <c r="C152">
        <v>3682.1000979999999</v>
      </c>
      <c r="D152">
        <f>(C152-C141)/C141</f>
        <v>0</v>
      </c>
      <c r="E152">
        <f>C152*$E$3</f>
        <v>10059497.467736</v>
      </c>
      <c r="I152" s="6"/>
    </row>
    <row r="153" spans="1:9" x14ac:dyDescent="0.3">
      <c r="A153" s="1">
        <v>7</v>
      </c>
      <c r="B153" s="1" t="s">
        <v>20</v>
      </c>
      <c r="C153">
        <v>1368</v>
      </c>
      <c r="D153">
        <f>(C153-C142)/C142</f>
        <v>0</v>
      </c>
      <c r="E153">
        <f>C153*$E$3</f>
        <v>3737376</v>
      </c>
      <c r="I153" s="6"/>
    </row>
    <row r="154" spans="1:9" x14ac:dyDescent="0.3">
      <c r="D154">
        <f>SUM(D147:D153)</f>
        <v>0</v>
      </c>
      <c r="E154">
        <f>SUM(E147:E153)</f>
        <v>93283320.433330402</v>
      </c>
    </row>
    <row r="156" spans="1:9" x14ac:dyDescent="0.3">
      <c r="B156" s="15">
        <v>46171</v>
      </c>
    </row>
    <row r="157" spans="1:9" x14ac:dyDescent="0.3">
      <c r="A157" s="1" t="s">
        <v>1</v>
      </c>
      <c r="B157" s="1" t="s">
        <v>48</v>
      </c>
      <c r="C157" s="1" t="s">
        <v>49</v>
      </c>
      <c r="D157" s="1" t="s">
        <v>69</v>
      </c>
      <c r="E157" s="1" t="s">
        <v>90</v>
      </c>
      <c r="H157" s="1" t="s">
        <v>81</v>
      </c>
      <c r="I157">
        <f>E165/10000000</f>
        <v>9.1690428032766409</v>
      </c>
    </row>
    <row r="158" spans="1:9" x14ac:dyDescent="0.3">
      <c r="A158" s="1">
        <v>1</v>
      </c>
      <c r="B158" s="1" t="s">
        <v>9</v>
      </c>
      <c r="C158">
        <v>7204.5</v>
      </c>
      <c r="D158">
        <f>(C158-C147)/C147</f>
        <v>-7.5079212012673924E-3</v>
      </c>
      <c r="E158">
        <f>C158*$E$3</f>
        <v>19682694</v>
      </c>
    </row>
    <row r="159" spans="1:9" x14ac:dyDescent="0.3">
      <c r="A159" s="1">
        <v>2</v>
      </c>
      <c r="B159" s="1" t="s">
        <v>7</v>
      </c>
      <c r="C159">
        <v>18247</v>
      </c>
      <c r="D159">
        <f>(C159-C148)/C148</f>
        <v>-2.1765935774406261E-2</v>
      </c>
      <c r="E159">
        <f>C159*$E$3</f>
        <v>49850804</v>
      </c>
    </row>
    <row r="160" spans="1:9" x14ac:dyDescent="0.3">
      <c r="A160" s="1">
        <v>3</v>
      </c>
      <c r="B160" s="1" t="s">
        <v>6</v>
      </c>
      <c r="C160">
        <v>1482.8000489999999</v>
      </c>
      <c r="D160">
        <f>(C160-C149)/C149</f>
        <v>1.4183143577343772E-3</v>
      </c>
      <c r="E160">
        <f>C160*$E$3</f>
        <v>4051009.7338679996</v>
      </c>
    </row>
    <row r="161" spans="1:9" x14ac:dyDescent="0.3">
      <c r="A161" s="1">
        <v>4</v>
      </c>
      <c r="B161" s="1" t="s">
        <v>12</v>
      </c>
      <c r="C161">
        <v>606.45001219999995</v>
      </c>
      <c r="D161">
        <f>(C161-C150)/C150</f>
        <v>-1.2351778407951753E-3</v>
      </c>
      <c r="E161">
        <f>C161*$E$3</f>
        <v>1656821.4333303999</v>
      </c>
      <c r="I161" s="6"/>
    </row>
    <row r="162" spans="1:9" x14ac:dyDescent="0.3">
      <c r="A162" s="1">
        <v>5</v>
      </c>
      <c r="B162" s="1" t="s">
        <v>19</v>
      </c>
      <c r="C162">
        <v>1098</v>
      </c>
      <c r="D162">
        <f>(C162-C151)/C151</f>
        <v>3.0145694233249714E-3</v>
      </c>
      <c r="E162">
        <f>C162*$E$3</f>
        <v>2999736</v>
      </c>
      <c r="I162" s="6"/>
    </row>
    <row r="163" spans="1:9" x14ac:dyDescent="0.3">
      <c r="A163" s="1">
        <v>6</v>
      </c>
      <c r="B163" s="1" t="s">
        <v>10</v>
      </c>
      <c r="C163">
        <v>3629</v>
      </c>
      <c r="D163">
        <f>(C163-C152)/C152</f>
        <v>-1.4421144614955519E-2</v>
      </c>
      <c r="E163">
        <f>C163*$E$3</f>
        <v>9914428</v>
      </c>
      <c r="I163" s="6"/>
    </row>
    <row r="164" spans="1:9" x14ac:dyDescent="0.3">
      <c r="A164" s="1">
        <v>7</v>
      </c>
      <c r="B164" s="1" t="s">
        <v>20</v>
      </c>
      <c r="C164">
        <v>1293.900024</v>
      </c>
      <c r="D164">
        <f>(C164-C153)/C153</f>
        <v>-5.4166649122806998E-2</v>
      </c>
      <c r="E164">
        <f>C164*$E$3</f>
        <v>3534934.8655679999</v>
      </c>
      <c r="I164" s="6"/>
    </row>
    <row r="165" spans="1:9" x14ac:dyDescent="0.3">
      <c r="D165">
        <f>SUM(D158:D164)</f>
        <v>-9.4663944773171999E-2</v>
      </c>
      <c r="E165">
        <f>SUM(E158:E164)</f>
        <v>91690428.032766402</v>
      </c>
    </row>
    <row r="167" spans="1:9" x14ac:dyDescent="0.3">
      <c r="B167" s="15">
        <v>46174</v>
      </c>
    </row>
    <row r="168" spans="1:9" x14ac:dyDescent="0.3">
      <c r="A168" s="1" t="s">
        <v>1</v>
      </c>
      <c r="B168" s="1" t="s">
        <v>48</v>
      </c>
      <c r="C168" s="1" t="s">
        <v>49</v>
      </c>
      <c r="D168" s="1" t="s">
        <v>69</v>
      </c>
      <c r="E168" s="1" t="s">
        <v>90</v>
      </c>
      <c r="H168" s="1" t="s">
        <v>81</v>
      </c>
      <c r="I168">
        <f>E176/10000000</f>
        <v>9.0755673665056786</v>
      </c>
    </row>
    <row r="169" spans="1:9" x14ac:dyDescent="0.3">
      <c r="A169" s="1">
        <v>1</v>
      </c>
      <c r="B169" s="1" t="s">
        <v>9</v>
      </c>
      <c r="C169">
        <v>6900</v>
      </c>
      <c r="D169">
        <f>(C169-C158)/C158</f>
        <v>-4.2265250884863624E-2</v>
      </c>
      <c r="E169">
        <f>C169*$E$3</f>
        <v>18850800</v>
      </c>
    </row>
    <row r="170" spans="1:9" x14ac:dyDescent="0.3">
      <c r="A170" s="1">
        <v>2</v>
      </c>
      <c r="B170" s="1" t="s">
        <v>7</v>
      </c>
      <c r="C170">
        <v>18203</v>
      </c>
      <c r="D170">
        <f>(C170-C159)/C159</f>
        <v>-2.4113552912807586E-3</v>
      </c>
      <c r="E170">
        <f>C170*$E$3</f>
        <v>49730596</v>
      </c>
    </row>
    <row r="171" spans="1:9" x14ac:dyDescent="0.3">
      <c r="A171" s="1">
        <v>3</v>
      </c>
      <c r="B171" s="1" t="s">
        <v>6</v>
      </c>
      <c r="C171">
        <v>1457.1999510000001</v>
      </c>
      <c r="D171">
        <f>(C171-C160)/C160</f>
        <v>-1.7264699995973559E-2</v>
      </c>
      <c r="E171">
        <f>C171*$E$3</f>
        <v>3981070.2661320004</v>
      </c>
    </row>
    <row r="172" spans="1:9" x14ac:dyDescent="0.3">
      <c r="A172" s="1">
        <v>4</v>
      </c>
      <c r="B172" s="1" t="s">
        <v>12</v>
      </c>
      <c r="C172">
        <v>603.40002440000001</v>
      </c>
      <c r="D172">
        <f>(C172-C161)/C161</f>
        <v>-5.0292484766149047E-3</v>
      </c>
      <c r="E172">
        <f>C172*$E$3</f>
        <v>1648488.8666608001</v>
      </c>
      <c r="I172" s="6"/>
    </row>
    <row r="173" spans="1:9" x14ac:dyDescent="0.3">
      <c r="A173" s="1">
        <v>5</v>
      </c>
      <c r="B173" s="1" t="s">
        <v>19</v>
      </c>
      <c r="C173">
        <v>1115.6999510000001</v>
      </c>
      <c r="D173">
        <f>(C173-C162)/C162</f>
        <v>1.6120173952641217E-2</v>
      </c>
      <c r="E173">
        <f>C173*$E$3</f>
        <v>3048092.2661320004</v>
      </c>
      <c r="I173" s="6"/>
    </row>
    <row r="174" spans="1:9" x14ac:dyDescent="0.3">
      <c r="A174" s="1">
        <v>6</v>
      </c>
      <c r="B174" s="1" t="s">
        <v>10</v>
      </c>
      <c r="C174">
        <v>3612</v>
      </c>
      <c r="D174">
        <f>(C174-C163)/C163</f>
        <v>-4.6844860843207499E-3</v>
      </c>
      <c r="E174">
        <f>C174*$E$3</f>
        <v>9867984</v>
      </c>
      <c r="I174" s="6"/>
    </row>
    <row r="175" spans="1:9" x14ac:dyDescent="0.3">
      <c r="A175" s="1">
        <v>7</v>
      </c>
      <c r="B175" s="1" t="s">
        <v>20</v>
      </c>
      <c r="C175">
        <v>1328.1999510000001</v>
      </c>
      <c r="D175">
        <f>(C175-C164)/C164</f>
        <v>2.6508946876717905E-2</v>
      </c>
      <c r="E175">
        <f>C175*$E$3</f>
        <v>3628642.2661320004</v>
      </c>
      <c r="I175" s="6"/>
    </row>
    <row r="176" spans="1:9" x14ac:dyDescent="0.3">
      <c r="D176">
        <f>SUM(D169:D175)</f>
        <v>-2.9025919903694471E-2</v>
      </c>
      <c r="E176">
        <f>SUM(E169:E175)</f>
        <v>90755673.665056795</v>
      </c>
    </row>
    <row r="178" spans="1:9" x14ac:dyDescent="0.3">
      <c r="B178" s="15">
        <v>46175</v>
      </c>
    </row>
    <row r="179" spans="1:9" x14ac:dyDescent="0.3">
      <c r="A179" s="1" t="s">
        <v>1</v>
      </c>
      <c r="B179" s="1" t="s">
        <v>48</v>
      </c>
      <c r="C179" s="1" t="s">
        <v>49</v>
      </c>
      <c r="D179" s="1" t="s">
        <v>69</v>
      </c>
      <c r="E179" s="1" t="s">
        <v>90</v>
      </c>
      <c r="H179" s="1" t="s">
        <v>81</v>
      </c>
      <c r="I179">
        <f>E187/10000000</f>
        <v>9.1428019133339191</v>
      </c>
    </row>
    <row r="180" spans="1:9" x14ac:dyDescent="0.3">
      <c r="A180" s="1">
        <v>1</v>
      </c>
      <c r="B180" s="1" t="s">
        <v>9</v>
      </c>
      <c r="C180">
        <v>6940</v>
      </c>
      <c r="D180">
        <f>(C180-C169)/C169</f>
        <v>5.7971014492753624E-3</v>
      </c>
      <c r="E180">
        <f>C180*$E$3</f>
        <v>18960080</v>
      </c>
    </row>
    <row r="181" spans="1:9" x14ac:dyDescent="0.3">
      <c r="A181" s="1">
        <v>2</v>
      </c>
      <c r="B181" s="1" t="s">
        <v>7</v>
      </c>
      <c r="C181">
        <v>18386</v>
      </c>
      <c r="D181">
        <f>(C181-C170)/C170</f>
        <v>1.0053287919573696E-2</v>
      </c>
      <c r="E181">
        <f>C181*$E$3</f>
        <v>50230552</v>
      </c>
    </row>
    <row r="182" spans="1:9" x14ac:dyDescent="0.3">
      <c r="A182" s="1">
        <v>3</v>
      </c>
      <c r="B182" s="1" t="s">
        <v>6</v>
      </c>
      <c r="C182">
        <v>1454.599976</v>
      </c>
      <c r="D182">
        <f>(C182-C171)/C171</f>
        <v>-1.7842266589536042E-3</v>
      </c>
      <c r="E182">
        <f>C182*$E$3</f>
        <v>3973967.1344320001</v>
      </c>
    </row>
    <row r="183" spans="1:9" x14ac:dyDescent="0.3">
      <c r="A183" s="1">
        <v>4</v>
      </c>
      <c r="B183" s="1" t="s">
        <v>12</v>
      </c>
      <c r="C183">
        <v>607.09997559999999</v>
      </c>
      <c r="D183">
        <f>(C183-C172)/C172</f>
        <v>6.131838001960788E-3</v>
      </c>
      <c r="E183">
        <f>C183*$E$3</f>
        <v>1658597.1333391999</v>
      </c>
      <c r="I183" s="6"/>
    </row>
    <row r="184" spans="1:9" x14ac:dyDescent="0.3">
      <c r="A184" s="1">
        <v>5</v>
      </c>
      <c r="B184" s="1" t="s">
        <v>19</v>
      </c>
      <c r="C184">
        <v>1098.6999510000001</v>
      </c>
      <c r="D184">
        <f>(C184-C173)/C173</f>
        <v>-1.5237071566385683E-2</v>
      </c>
      <c r="E184">
        <f>C184*$E$3</f>
        <v>3001648.2661320004</v>
      </c>
      <c r="I184" s="6"/>
    </row>
    <row r="185" spans="1:9" x14ac:dyDescent="0.3">
      <c r="A185" s="1">
        <v>6</v>
      </c>
      <c r="B185" s="1" t="s">
        <v>10</v>
      </c>
      <c r="C185">
        <v>3654.3000489999999</v>
      </c>
      <c r="D185">
        <f>(C185-C174)/C174</f>
        <v>1.171097702104096E-2</v>
      </c>
      <c r="E185">
        <f>C185*$E$3</f>
        <v>9983547.7338679992</v>
      </c>
      <c r="I185" s="6"/>
    </row>
    <row r="186" spans="1:9" x14ac:dyDescent="0.3">
      <c r="A186" s="1">
        <v>7</v>
      </c>
      <c r="B186" s="1" t="s">
        <v>20</v>
      </c>
      <c r="C186">
        <v>1324.900024</v>
      </c>
      <c r="D186">
        <f>(C186-C175)/C175</f>
        <v>-2.4845107075297771E-3</v>
      </c>
      <c r="E186">
        <f>C186*$E$3</f>
        <v>3619626.8655679999</v>
      </c>
      <c r="I186" s="6"/>
    </row>
    <row r="187" spans="1:9" x14ac:dyDescent="0.3">
      <c r="D187">
        <f>SUM(D180:D186)</f>
        <v>1.4187395458981743E-2</v>
      </c>
      <c r="E187">
        <f>SUM(E180:E186)</f>
        <v>91428019.133339196</v>
      </c>
    </row>
    <row r="189" spans="1:9" x14ac:dyDescent="0.3">
      <c r="B189" s="15">
        <v>46176</v>
      </c>
    </row>
    <row r="190" spans="1:9" x14ac:dyDescent="0.3">
      <c r="A190" s="1" t="s">
        <v>1</v>
      </c>
      <c r="B190" s="1" t="s">
        <v>48</v>
      </c>
      <c r="C190" s="1" t="s">
        <v>49</v>
      </c>
      <c r="D190" s="1" t="s">
        <v>69</v>
      </c>
      <c r="E190" s="1" t="s">
        <v>90</v>
      </c>
      <c r="H190" s="1" t="s">
        <v>81</v>
      </c>
      <c r="I190">
        <f>E198/10000000</f>
        <v>9.2528058496765588</v>
      </c>
    </row>
    <row r="191" spans="1:9" x14ac:dyDescent="0.3">
      <c r="A191" s="1">
        <v>1</v>
      </c>
      <c r="B191" s="1" t="s">
        <v>9</v>
      </c>
      <c r="C191">
        <v>7110.5</v>
      </c>
      <c r="D191">
        <f>(C191-C180)/C180</f>
        <v>2.4567723342939482E-2</v>
      </c>
      <c r="E191">
        <f>C191*$E$3</f>
        <v>19425886</v>
      </c>
    </row>
    <row r="192" spans="1:9" x14ac:dyDescent="0.3">
      <c r="A192" s="1">
        <v>2</v>
      </c>
      <c r="B192" s="1" t="s">
        <v>7</v>
      </c>
      <c r="C192">
        <v>18577</v>
      </c>
      <c r="D192">
        <f>(C192-C181)/C181</f>
        <v>1.0388338953551615E-2</v>
      </c>
      <c r="E192">
        <f>C192*$E$3</f>
        <v>50752364</v>
      </c>
    </row>
    <row r="193" spans="1:9" x14ac:dyDescent="0.3">
      <c r="A193" s="1">
        <v>3</v>
      </c>
      <c r="B193" s="1" t="s">
        <v>6</v>
      </c>
      <c r="C193">
        <v>1469.1999510000001</v>
      </c>
      <c r="D193">
        <f>(C193-C182)/C182</f>
        <v>1.0037106586615319E-2</v>
      </c>
      <c r="E193">
        <f>C193*$E$3</f>
        <v>4013854.2661320004</v>
      </c>
    </row>
    <row r="194" spans="1:9" x14ac:dyDescent="0.3">
      <c r="A194" s="1">
        <v>4</v>
      </c>
      <c r="B194" s="1" t="s">
        <v>12</v>
      </c>
      <c r="C194">
        <v>602.04998780000005</v>
      </c>
      <c r="D194">
        <f>(C194-C183)/C183</f>
        <v>-8.3182144670801723E-3</v>
      </c>
      <c r="E194">
        <f>C194*$E$3</f>
        <v>1644800.5666696001</v>
      </c>
      <c r="I194" s="6"/>
    </row>
    <row r="195" spans="1:9" x14ac:dyDescent="0.3">
      <c r="A195" s="1">
        <v>5</v>
      </c>
      <c r="B195" s="1" t="s">
        <v>19</v>
      </c>
      <c r="C195">
        <v>1139.400024</v>
      </c>
      <c r="D195">
        <f>(C195-C184)/C184</f>
        <v>3.704384710580548E-2</v>
      </c>
      <c r="E195">
        <f>C195*$E$3</f>
        <v>3112840.8655679999</v>
      </c>
      <c r="I195" s="6"/>
    </row>
    <row r="196" spans="1:9" x14ac:dyDescent="0.3">
      <c r="A196" s="1">
        <v>6</v>
      </c>
      <c r="B196" s="1" t="s">
        <v>10</v>
      </c>
      <c r="C196">
        <v>3642.8999020000001</v>
      </c>
      <c r="D196">
        <f>(C196-C185)/C185</f>
        <v>-3.1196526960394198E-3</v>
      </c>
      <c r="E196">
        <f>C196*$E$3</f>
        <v>9952402.5322639998</v>
      </c>
      <c r="I196" s="6"/>
    </row>
    <row r="197" spans="1:9" x14ac:dyDescent="0.3">
      <c r="A197" s="1">
        <v>7</v>
      </c>
      <c r="B197" s="1" t="s">
        <v>20</v>
      </c>
      <c r="C197">
        <v>1327.1999510000001</v>
      </c>
      <c r="D197">
        <f>(C197-C186)/C186</f>
        <v>1.7359249440243236E-3</v>
      </c>
      <c r="E197">
        <f>C197*$E$3</f>
        <v>3625910.2661320004</v>
      </c>
      <c r="I197" s="6"/>
    </row>
    <row r="198" spans="1:9" x14ac:dyDescent="0.3">
      <c r="D198">
        <f>SUM(D191:D197)</f>
        <v>7.2335073769816627E-2</v>
      </c>
      <c r="E198">
        <f>SUM(E191:E197)</f>
        <v>92528058.496765584</v>
      </c>
    </row>
    <row r="200" spans="1:9" x14ac:dyDescent="0.3">
      <c r="B200" s="15">
        <v>46177</v>
      </c>
    </row>
    <row r="201" spans="1:9" x14ac:dyDescent="0.3">
      <c r="A201" s="1" t="s">
        <v>1</v>
      </c>
      <c r="B201" s="1" t="s">
        <v>48</v>
      </c>
      <c r="C201" s="1" t="s">
        <v>49</v>
      </c>
      <c r="D201" s="1" t="s">
        <v>69</v>
      </c>
      <c r="E201" s="1" t="s">
        <v>90</v>
      </c>
      <c r="H201" s="1" t="s">
        <v>81</v>
      </c>
      <c r="I201">
        <f>E209/10000000</f>
        <v>9.168783193282799</v>
      </c>
    </row>
    <row r="202" spans="1:9" x14ac:dyDescent="0.3">
      <c r="A202" s="1">
        <v>1</v>
      </c>
      <c r="B202" s="1" t="s">
        <v>9</v>
      </c>
      <c r="C202">
        <v>7069</v>
      </c>
      <c r="D202">
        <f>(C202-C191)/C191</f>
        <v>-5.8364390689824904E-3</v>
      </c>
      <c r="E202">
        <f>C202*$E$3</f>
        <v>19312508</v>
      </c>
    </row>
    <row r="203" spans="1:9" x14ac:dyDescent="0.3">
      <c r="A203" s="1">
        <v>2</v>
      </c>
      <c r="B203" s="1" t="s">
        <v>7</v>
      </c>
      <c r="C203">
        <v>18293</v>
      </c>
      <c r="D203">
        <f>(C203-C192)/C192</f>
        <v>-1.5287721375894923E-2</v>
      </c>
      <c r="E203">
        <f>C203*$E$3</f>
        <v>49976476</v>
      </c>
    </row>
    <row r="204" spans="1:9" x14ac:dyDescent="0.3">
      <c r="A204" s="1">
        <v>3</v>
      </c>
      <c r="B204" s="1" t="s">
        <v>6</v>
      </c>
      <c r="C204">
        <v>1471.099976</v>
      </c>
      <c r="D204">
        <f>(C204-C193)/C193</f>
        <v>1.293237859630118E-3</v>
      </c>
      <c r="E204">
        <f>C204*$E$3</f>
        <v>4019045.1344320001</v>
      </c>
    </row>
    <row r="205" spans="1:9" x14ac:dyDescent="0.3">
      <c r="A205" s="1">
        <v>4</v>
      </c>
      <c r="B205" s="1" t="s">
        <v>12</v>
      </c>
      <c r="C205">
        <v>642</v>
      </c>
      <c r="D205">
        <f>(C205-C194)/C194</f>
        <v>6.6356636507849689E-2</v>
      </c>
      <c r="E205">
        <f>C205*$E$3</f>
        <v>1753944</v>
      </c>
      <c r="I205" s="6"/>
    </row>
    <row r="206" spans="1:9" x14ac:dyDescent="0.3">
      <c r="A206" s="1">
        <v>5</v>
      </c>
      <c r="B206" s="1" t="s">
        <v>19</v>
      </c>
      <c r="C206">
        <v>1143.1999510000001</v>
      </c>
      <c r="D206">
        <f>(C206-C195)/C195</f>
        <v>3.3350245040893777E-3</v>
      </c>
      <c r="E206">
        <f>C206*$E$3</f>
        <v>3123222.2661320004</v>
      </c>
      <c r="I206" s="6"/>
    </row>
    <row r="207" spans="1:9" x14ac:dyDescent="0.3">
      <c r="A207" s="1">
        <v>6</v>
      </c>
      <c r="B207" s="1" t="s">
        <v>10</v>
      </c>
      <c r="C207">
        <v>3594.1999510000001</v>
      </c>
      <c r="D207">
        <f>(C207-C196)/C196</f>
        <v>-1.3368457083672033E-2</v>
      </c>
      <c r="E207">
        <f>C207*$E$3</f>
        <v>9819354.2661320008</v>
      </c>
      <c r="I207" s="6"/>
    </row>
    <row r="208" spans="1:9" x14ac:dyDescent="0.3">
      <c r="A208" s="1">
        <v>7</v>
      </c>
      <c r="B208" s="1" t="s">
        <v>20</v>
      </c>
      <c r="C208">
        <v>1348.1999510000001</v>
      </c>
      <c r="D208">
        <f>(C208-C197)/C197</f>
        <v>1.5822785394301146E-2</v>
      </c>
      <c r="E208">
        <f>C208*$E$3</f>
        <v>3683282.2661320004</v>
      </c>
      <c r="I208" s="6"/>
    </row>
    <row r="209" spans="1:9" x14ac:dyDescent="0.3">
      <c r="D209">
        <f>SUM(D202:D208)</f>
        <v>5.2315066737320885E-2</v>
      </c>
      <c r="E209">
        <f>SUM(E202:E208)</f>
        <v>91687831.932827994</v>
      </c>
    </row>
    <row r="211" spans="1:9" x14ac:dyDescent="0.3">
      <c r="B211" s="15">
        <v>46178</v>
      </c>
    </row>
    <row r="212" spans="1:9" x14ac:dyDescent="0.3">
      <c r="A212" s="1" t="s">
        <v>1</v>
      </c>
      <c r="B212" s="1" t="s">
        <v>48</v>
      </c>
      <c r="C212" s="1" t="s">
        <v>49</v>
      </c>
      <c r="D212" s="1" t="s">
        <v>69</v>
      </c>
      <c r="E212" s="1" t="s">
        <v>90</v>
      </c>
      <c r="H212" s="1" t="s">
        <v>81</v>
      </c>
      <c r="I212">
        <f>E220/10000000</f>
        <v>9.1899152233365591</v>
      </c>
    </row>
    <row r="213" spans="1:9" x14ac:dyDescent="0.3">
      <c r="A213" s="1">
        <v>1</v>
      </c>
      <c r="B213" s="1" t="s">
        <v>9</v>
      </c>
      <c r="C213">
        <v>7010.5</v>
      </c>
      <c r="D213">
        <f>(C213-C202)/C202</f>
        <v>-8.2755693874664027E-3</v>
      </c>
      <c r="E213">
        <f>C213*$E$3</f>
        <v>19152686</v>
      </c>
    </row>
    <row r="214" spans="1:9" x14ac:dyDescent="0.3">
      <c r="A214" s="1">
        <v>2</v>
      </c>
      <c r="B214" s="1" t="s">
        <v>7</v>
      </c>
      <c r="C214">
        <v>18441</v>
      </c>
      <c r="D214">
        <f>(C214-C203)/C203</f>
        <v>8.090526430875199E-3</v>
      </c>
      <c r="E214">
        <f>C214*$E$3</f>
        <v>50380812</v>
      </c>
    </row>
    <row r="215" spans="1:9" x14ac:dyDescent="0.3">
      <c r="A215" s="1">
        <v>3</v>
      </c>
      <c r="B215" s="1" t="s">
        <v>6</v>
      </c>
      <c r="C215">
        <v>1476.599976</v>
      </c>
      <c r="D215">
        <f>(C215-C204)/C204</f>
        <v>3.7386989937657372E-3</v>
      </c>
      <c r="E215">
        <f>C215*$E$3</f>
        <v>4034071.1344320001</v>
      </c>
    </row>
    <row r="216" spans="1:9" x14ac:dyDescent="0.3">
      <c r="A216" s="1">
        <v>4</v>
      </c>
      <c r="B216" s="1" t="s">
        <v>12</v>
      </c>
      <c r="C216">
        <v>685.04998780000005</v>
      </c>
      <c r="D216">
        <f>(C216-C205)/C205</f>
        <v>6.7056055763239961E-2</v>
      </c>
      <c r="E216">
        <f>C216*$E$3</f>
        <v>1871556.5666696001</v>
      </c>
      <c r="I216" s="6"/>
    </row>
    <row r="217" spans="1:9" x14ac:dyDescent="0.3">
      <c r="A217" s="1">
        <v>5</v>
      </c>
      <c r="B217" s="1" t="s">
        <v>19</v>
      </c>
      <c r="C217">
        <v>1138.1999510000001</v>
      </c>
      <c r="D217">
        <f>(C217-C206)/C206</f>
        <v>-4.3736880810975468E-3</v>
      </c>
      <c r="E217">
        <f>C217*$E$3</f>
        <v>3109562.2661320004</v>
      </c>
      <c r="I217" s="6"/>
    </row>
    <row r="218" spans="1:9" x14ac:dyDescent="0.3">
      <c r="A218" s="1">
        <v>6</v>
      </c>
      <c r="B218" s="1" t="s">
        <v>10</v>
      </c>
      <c r="C218">
        <v>3558.5</v>
      </c>
      <c r="D218">
        <f>(C218-C207)/C207</f>
        <v>-9.9326558028769094E-3</v>
      </c>
      <c r="E218">
        <f>C218*$E$3</f>
        <v>9721822</v>
      </c>
      <c r="I218" s="6"/>
    </row>
    <row r="219" spans="1:9" x14ac:dyDescent="0.3">
      <c r="A219" s="1">
        <v>7</v>
      </c>
      <c r="B219" s="1" t="s">
        <v>20</v>
      </c>
      <c r="C219">
        <v>1328.1999510000001</v>
      </c>
      <c r="D219">
        <f>(C219-C208)/C208</f>
        <v>-1.4834594813006339E-2</v>
      </c>
      <c r="E219">
        <f>C219*$E$3</f>
        <v>3628642.2661320004</v>
      </c>
      <c r="I219" s="6"/>
    </row>
    <row r="220" spans="1:9" x14ac:dyDescent="0.3">
      <c r="D220">
        <f>SUM(D213:D219)</f>
        <v>4.1468773103433693E-2</v>
      </c>
      <c r="E220">
        <f>SUM(E213:E219)</f>
        <v>91899152.233365595</v>
      </c>
    </row>
    <row r="222" spans="1:9" x14ac:dyDescent="0.3">
      <c r="B222" s="15">
        <v>46181</v>
      </c>
    </row>
    <row r="223" spans="1:9" x14ac:dyDescent="0.3">
      <c r="A223" s="1" t="s">
        <v>1</v>
      </c>
      <c r="B223" s="1" t="s">
        <v>48</v>
      </c>
      <c r="C223" s="1" t="s">
        <v>49</v>
      </c>
      <c r="D223" s="1" t="s">
        <v>69</v>
      </c>
      <c r="E223" s="1" t="s">
        <v>90</v>
      </c>
      <c r="H223" s="1" t="s">
        <v>81</v>
      </c>
      <c r="I223">
        <f>E231/10000000</f>
        <v>9.0269651634934416</v>
      </c>
    </row>
    <row r="224" spans="1:9" x14ac:dyDescent="0.3">
      <c r="A224" s="1">
        <v>1</v>
      </c>
      <c r="B224" s="1" t="s">
        <v>9</v>
      </c>
      <c r="C224">
        <v>6869.5</v>
      </c>
      <c r="D224">
        <f>(C224-C213)/C213</f>
        <v>-2.0112688110691106E-2</v>
      </c>
      <c r="E224">
        <f>C224*$E$3</f>
        <v>18767474</v>
      </c>
    </row>
    <row r="225" spans="1:9" x14ac:dyDescent="0.3">
      <c r="A225" s="1">
        <v>2</v>
      </c>
      <c r="B225" s="1" t="s">
        <v>7</v>
      </c>
      <c r="C225">
        <v>18114</v>
      </c>
      <c r="D225">
        <f>(C225-C214)/C214</f>
        <v>-1.7732227102651699E-2</v>
      </c>
      <c r="E225">
        <f>C225*$E$3</f>
        <v>49487448</v>
      </c>
    </row>
    <row r="226" spans="1:9" x14ac:dyDescent="0.3">
      <c r="A226" s="1">
        <v>3</v>
      </c>
      <c r="B226" s="1" t="s">
        <v>6</v>
      </c>
      <c r="C226">
        <v>1459.8000489999999</v>
      </c>
      <c r="D226">
        <f>(C226-C215)/C215</f>
        <v>-1.1377439572706606E-2</v>
      </c>
      <c r="E226">
        <f>C226*$E$3</f>
        <v>3988173.7338679996</v>
      </c>
    </row>
    <row r="227" spans="1:9" x14ac:dyDescent="0.3">
      <c r="A227" s="1">
        <v>4</v>
      </c>
      <c r="B227" s="1" t="s">
        <v>12</v>
      </c>
      <c r="C227">
        <v>667.20001219999995</v>
      </c>
      <c r="D227">
        <f>(C227-C216)/C216</f>
        <v>-2.6056457073044131E-2</v>
      </c>
      <c r="E227">
        <f>C227*$E$3</f>
        <v>1822790.4333303999</v>
      </c>
      <c r="I227" s="6"/>
    </row>
    <row r="228" spans="1:9" x14ac:dyDescent="0.3">
      <c r="A228" s="1">
        <v>5</v>
      </c>
      <c r="B228" s="1" t="s">
        <v>19</v>
      </c>
      <c r="C228">
        <v>1136.5</v>
      </c>
      <c r="D228">
        <f>(C228-C217)/C217</f>
        <v>-1.4935433783023026E-3</v>
      </c>
      <c r="E228">
        <f>C228*$E$3</f>
        <v>3104918</v>
      </c>
      <c r="I228" s="6"/>
    </row>
    <row r="229" spans="1:9" x14ac:dyDescent="0.3">
      <c r="A229" s="1">
        <v>6</v>
      </c>
      <c r="B229" s="1" t="s">
        <v>10</v>
      </c>
      <c r="C229">
        <v>3492.6000979999999</v>
      </c>
      <c r="D229">
        <f>(C229-C218)/C218</f>
        <v>-1.8519011381199976E-2</v>
      </c>
      <c r="E229">
        <f>C229*$E$3</f>
        <v>9541783.4677360002</v>
      </c>
      <c r="I229" s="6"/>
    </row>
    <row r="230" spans="1:9" x14ac:dyDescent="0.3">
      <c r="A230" s="1">
        <v>7</v>
      </c>
      <c r="B230" s="1" t="s">
        <v>20</v>
      </c>
      <c r="C230">
        <v>1302</v>
      </c>
      <c r="D230">
        <f>(C230-C219)/C219</f>
        <v>-1.9725908723512712E-2</v>
      </c>
      <c r="E230">
        <f>C230*$E$3</f>
        <v>3557064</v>
      </c>
      <c r="I230" s="6"/>
    </row>
    <row r="231" spans="1:9" x14ac:dyDescent="0.3">
      <c r="D231">
        <f>SUM(D224:D230)</f>
        <v>-0.11501727534210854</v>
      </c>
      <c r="E231">
        <f>SUM(E224:E230)</f>
        <v>90269651.63493441</v>
      </c>
    </row>
    <row r="233" spans="1:9" x14ac:dyDescent="0.3">
      <c r="B233" s="15">
        <v>46182</v>
      </c>
    </row>
    <row r="234" spans="1:9" x14ac:dyDescent="0.3">
      <c r="A234" s="1" t="s">
        <v>1</v>
      </c>
      <c r="B234" s="1" t="s">
        <v>48</v>
      </c>
      <c r="C234" s="1" t="s">
        <v>49</v>
      </c>
      <c r="D234" s="1" t="s">
        <v>69</v>
      </c>
      <c r="E234" s="1" t="s">
        <v>90</v>
      </c>
      <c r="H234" s="1" t="s">
        <v>81</v>
      </c>
      <c r="I234">
        <f>E242/10000000</f>
        <v>9.0878067733868004</v>
      </c>
    </row>
    <row r="235" spans="1:9" x14ac:dyDescent="0.3">
      <c r="A235" s="1">
        <v>1</v>
      </c>
      <c r="B235" s="1" t="s">
        <v>9</v>
      </c>
      <c r="C235">
        <v>6855</v>
      </c>
      <c r="D235">
        <f>(C235-C224)/C224</f>
        <v>-2.1107795327170828E-3</v>
      </c>
      <c r="E235">
        <f>C235*$E$3</f>
        <v>18727860</v>
      </c>
    </row>
    <row r="236" spans="1:9" x14ac:dyDescent="0.3">
      <c r="A236" s="1">
        <v>2</v>
      </c>
      <c r="B236" s="1" t="s">
        <v>7</v>
      </c>
      <c r="C236">
        <v>18267</v>
      </c>
      <c r="D236">
        <f>(C236-C225)/C225</f>
        <v>8.4465054653858895E-3</v>
      </c>
      <c r="E236">
        <f>C236*$E$3</f>
        <v>49905444</v>
      </c>
    </row>
    <row r="237" spans="1:9" x14ac:dyDescent="0.3">
      <c r="A237" s="1">
        <v>3</v>
      </c>
      <c r="B237" s="1" t="s">
        <v>6</v>
      </c>
      <c r="C237">
        <v>1481.8000489999999</v>
      </c>
      <c r="D237">
        <f>(C237-C226)/C226</f>
        <v>1.5070557104769627E-2</v>
      </c>
      <c r="E237">
        <f>C237*$E$3</f>
        <v>4048277.7338679996</v>
      </c>
    </row>
    <row r="238" spans="1:9" x14ac:dyDescent="0.3">
      <c r="A238" s="1">
        <v>4</v>
      </c>
      <c r="B238" s="1" t="s">
        <v>12</v>
      </c>
      <c r="C238">
        <v>679.5</v>
      </c>
      <c r="D238">
        <f>(C238-C227)/C227</f>
        <v>1.843523317609444E-2</v>
      </c>
      <c r="E238">
        <f>C238*$E$3</f>
        <v>1856394</v>
      </c>
      <c r="I238" s="6"/>
    </row>
    <row r="239" spans="1:9" x14ac:dyDescent="0.3">
      <c r="A239" s="1">
        <v>5</v>
      </c>
      <c r="B239" s="1" t="s">
        <v>19</v>
      </c>
      <c r="C239">
        <v>1135</v>
      </c>
      <c r="D239">
        <f>(C239-C228)/C228</f>
        <v>-1.3198416190057193E-3</v>
      </c>
      <c r="E239">
        <f>C239*$E$3</f>
        <v>3100820</v>
      </c>
      <c r="I239" s="6"/>
    </row>
    <row r="240" spans="1:9" x14ac:dyDescent="0.3">
      <c r="A240" s="1">
        <v>6</v>
      </c>
      <c r="B240" s="1" t="s">
        <v>10</v>
      </c>
      <c r="C240">
        <v>3578.8000489999999</v>
      </c>
      <c r="D240">
        <f>(C240-C229)/C229</f>
        <v>2.468073887112399E-2</v>
      </c>
      <c r="E240">
        <f>C240*$E$3</f>
        <v>9777281.7338679992</v>
      </c>
      <c r="I240" s="6"/>
    </row>
    <row r="241" spans="1:9" x14ac:dyDescent="0.3">
      <c r="A241" s="1">
        <v>7</v>
      </c>
      <c r="B241" s="1" t="s">
        <v>20</v>
      </c>
      <c r="C241">
        <v>1267.1999510000001</v>
      </c>
      <c r="D241">
        <f>(C241-C230)/C230</f>
        <v>-2.67281482334869E-2</v>
      </c>
      <c r="E241">
        <f>C241*$E$3</f>
        <v>3461990.2661320004</v>
      </c>
      <c r="I241" s="6"/>
    </row>
    <row r="242" spans="1:9" x14ac:dyDescent="0.3">
      <c r="D242">
        <f>SUM(D235:D241)</f>
        <v>3.6474265232164238E-2</v>
      </c>
      <c r="E242">
        <f>SUM(E235:E241)</f>
        <v>90878067.733868003</v>
      </c>
    </row>
    <row r="244" spans="1:9" x14ac:dyDescent="0.3">
      <c r="B244" s="15">
        <v>46183</v>
      </c>
    </row>
    <row r="245" spans="1:9" x14ac:dyDescent="0.3">
      <c r="A245" s="1" t="s">
        <v>1</v>
      </c>
      <c r="B245" s="1" t="s">
        <v>48</v>
      </c>
      <c r="C245" s="1" t="s">
        <v>49</v>
      </c>
      <c r="D245" s="1" t="s">
        <v>69</v>
      </c>
      <c r="E245" s="1" t="s">
        <v>90</v>
      </c>
      <c r="H245" s="1" t="s">
        <v>81</v>
      </c>
      <c r="I245">
        <f>E253/10000000</f>
        <v>8.9295146868300002</v>
      </c>
    </row>
    <row r="246" spans="1:9" x14ac:dyDescent="0.3">
      <c r="A246" s="1">
        <v>1</v>
      </c>
      <c r="B246" s="1" t="s">
        <v>9</v>
      </c>
      <c r="C246">
        <v>6750.5</v>
      </c>
      <c r="D246">
        <f>(C246-C235)/C235</f>
        <v>-1.5244347191830781E-2</v>
      </c>
      <c r="E246">
        <f>C246*$E$3</f>
        <v>18442366</v>
      </c>
    </row>
    <row r="247" spans="1:9" x14ac:dyDescent="0.3">
      <c r="A247" s="1">
        <v>2</v>
      </c>
      <c r="B247" s="1" t="s">
        <v>7</v>
      </c>
      <c r="C247">
        <v>17697</v>
      </c>
      <c r="D247">
        <f>(C247-C236)/C236</f>
        <v>-3.1203810149449826E-2</v>
      </c>
      <c r="E247">
        <f>C247*$E$3</f>
        <v>48348204</v>
      </c>
    </row>
    <row r="248" spans="1:9" x14ac:dyDescent="0.3">
      <c r="A248" s="1">
        <v>3</v>
      </c>
      <c r="B248" s="1" t="s">
        <v>6</v>
      </c>
      <c r="C248">
        <v>1506.5</v>
      </c>
      <c r="D248">
        <f>(C248-C237)/C237</f>
        <v>1.6668882563925503E-2</v>
      </c>
      <c r="E248">
        <f>C248*$E$3</f>
        <v>4115758</v>
      </c>
    </row>
    <row r="249" spans="1:9" x14ac:dyDescent="0.3">
      <c r="A249" s="1">
        <v>4</v>
      </c>
      <c r="B249" s="1" t="s">
        <v>12</v>
      </c>
      <c r="C249">
        <v>693</v>
      </c>
      <c r="D249">
        <f>(C249-C238)/C238</f>
        <v>1.9867549668874173E-2</v>
      </c>
      <c r="E249">
        <f>C249*$E$3</f>
        <v>1893276</v>
      </c>
      <c r="I249" s="6"/>
    </row>
    <row r="250" spans="1:9" x14ac:dyDescent="0.3">
      <c r="A250" s="1">
        <v>5</v>
      </c>
      <c r="B250" s="1" t="s">
        <v>19</v>
      </c>
      <c r="C250">
        <v>1124.599976</v>
      </c>
      <c r="D250">
        <f>(C250-C239)/C239</f>
        <v>-9.1630167400881327E-3</v>
      </c>
      <c r="E250">
        <f>C250*$E$3</f>
        <v>3072407.1344320001</v>
      </c>
      <c r="I250" s="6"/>
    </row>
    <row r="251" spans="1:9" x14ac:dyDescent="0.3">
      <c r="A251" s="1">
        <v>6</v>
      </c>
      <c r="B251" s="1" t="s">
        <v>10</v>
      </c>
      <c r="C251">
        <v>3641</v>
      </c>
      <c r="D251">
        <f>(C251-C240)/C240</f>
        <v>1.7380113487307058E-2</v>
      </c>
      <c r="E251">
        <f>C251*$E$3</f>
        <v>9947212</v>
      </c>
      <c r="I251" s="6"/>
    </row>
    <row r="252" spans="1:9" x14ac:dyDescent="0.3">
      <c r="A252" s="1">
        <v>7</v>
      </c>
      <c r="B252" s="1" t="s">
        <v>20</v>
      </c>
      <c r="C252">
        <v>1272.3000489999999</v>
      </c>
      <c r="D252">
        <f>(C252-C241)/C241</f>
        <v>4.0246987036064753E-3</v>
      </c>
      <c r="E252">
        <f>C252*$E$3</f>
        <v>3475923.7338679996</v>
      </c>
      <c r="I252" s="6"/>
    </row>
    <row r="253" spans="1:9" x14ac:dyDescent="0.3">
      <c r="D253">
        <f>SUM(D246:D252)</f>
        <v>2.3300703423444723E-3</v>
      </c>
      <c r="E253">
        <f>SUM(E246:E252)</f>
        <v>89295146.868300006</v>
      </c>
    </row>
    <row r="255" spans="1:9" x14ac:dyDescent="0.3">
      <c r="B255" s="15">
        <v>46184</v>
      </c>
    </row>
    <row r="256" spans="1:9" x14ac:dyDescent="0.3">
      <c r="A256" s="1" t="s">
        <v>1</v>
      </c>
      <c r="B256" s="1" t="s">
        <v>48</v>
      </c>
      <c r="C256" s="1" t="s">
        <v>49</v>
      </c>
      <c r="D256" s="1" t="s">
        <v>69</v>
      </c>
      <c r="E256" s="1" t="s">
        <v>90</v>
      </c>
      <c r="H256" s="1" t="s">
        <v>81</v>
      </c>
      <c r="I256">
        <f>E264/10000000</f>
        <v>8.7705806034405605</v>
      </c>
    </row>
    <row r="257" spans="1:9" x14ac:dyDescent="0.3">
      <c r="A257" s="1">
        <v>1</v>
      </c>
      <c r="B257" s="1" t="s">
        <v>9</v>
      </c>
      <c r="C257">
        <v>6716</v>
      </c>
      <c r="D257">
        <f>(C257-C246)/C246</f>
        <v>-5.1107325383304937E-3</v>
      </c>
      <c r="E257">
        <f>C257*$E$3</f>
        <v>18348112</v>
      </c>
    </row>
    <row r="258" spans="1:9" x14ac:dyDescent="0.3">
      <c r="A258" s="1">
        <v>2</v>
      </c>
      <c r="B258" s="1" t="s">
        <v>7</v>
      </c>
      <c r="C258">
        <v>17141</v>
      </c>
      <c r="D258">
        <f>(C258-C247)/C247</f>
        <v>-3.1417754421653385E-2</v>
      </c>
      <c r="E258">
        <f>C258*$E$3</f>
        <v>46829212</v>
      </c>
    </row>
    <row r="259" spans="1:9" x14ac:dyDescent="0.3">
      <c r="A259" s="1">
        <v>3</v>
      </c>
      <c r="B259" s="1" t="s">
        <v>6</v>
      </c>
      <c r="C259">
        <v>1498.8000489999999</v>
      </c>
      <c r="D259">
        <f>(C259-C248)/C248</f>
        <v>-5.1111523398606412E-3</v>
      </c>
      <c r="E259">
        <f>C259*$E$3</f>
        <v>4094721.7338679996</v>
      </c>
    </row>
    <row r="260" spans="1:9" x14ac:dyDescent="0.3">
      <c r="A260" s="1">
        <v>4</v>
      </c>
      <c r="B260" s="1" t="s">
        <v>12</v>
      </c>
      <c r="C260">
        <v>680.04998780000005</v>
      </c>
      <c r="D260">
        <f>(C260-C249)/C249</f>
        <v>-1.8686886291486213E-2</v>
      </c>
      <c r="E260">
        <f>C260*$E$3</f>
        <v>1857896.5666696001</v>
      </c>
      <c r="I260" s="6"/>
    </row>
    <row r="261" spans="1:9" x14ac:dyDescent="0.3">
      <c r="A261" s="1">
        <v>5</v>
      </c>
      <c r="B261" s="1" t="s">
        <v>19</v>
      </c>
      <c r="C261">
        <v>1128.8000489999999</v>
      </c>
      <c r="D261">
        <f>(C261-C250)/C250</f>
        <v>3.7347262045468645E-3</v>
      </c>
      <c r="E261">
        <f>C261*$E$3</f>
        <v>3083881.7338679996</v>
      </c>
      <c r="I261" s="6"/>
    </row>
    <row r="262" spans="1:9" x14ac:dyDescent="0.3">
      <c r="A262" s="1">
        <v>6</v>
      </c>
      <c r="B262" s="1" t="s">
        <v>10</v>
      </c>
      <c r="C262">
        <v>3680.5</v>
      </c>
      <c r="D262">
        <f>(C262-C251)/C251</f>
        <v>1.0848667948365833E-2</v>
      </c>
      <c r="E262">
        <f>C262*$E$3</f>
        <v>10055126</v>
      </c>
      <c r="I262" s="6"/>
    </row>
    <row r="263" spans="1:9" x14ac:dyDescent="0.3">
      <c r="A263" s="1">
        <v>7</v>
      </c>
      <c r="B263" s="1" t="s">
        <v>20</v>
      </c>
      <c r="C263">
        <v>1258</v>
      </c>
      <c r="D263">
        <f>(C263-C252)/C252</f>
        <v>-1.1239525622308568E-2</v>
      </c>
      <c r="E263">
        <f>C263*$E$3</f>
        <v>3436856</v>
      </c>
      <c r="I263" s="6"/>
    </row>
    <row r="264" spans="1:9" x14ac:dyDescent="0.3">
      <c r="D264">
        <f>SUM(D257:D263)</f>
        <v>-5.6982657060726596E-2</v>
      </c>
      <c r="E264">
        <f>SUM(E257:E263)</f>
        <v>87705806.034405604</v>
      </c>
    </row>
    <row r="266" spans="1:9" x14ac:dyDescent="0.3">
      <c r="B266" s="15">
        <v>46185</v>
      </c>
    </row>
    <row r="267" spans="1:9" x14ac:dyDescent="0.3">
      <c r="A267" s="1" t="s">
        <v>1</v>
      </c>
      <c r="B267" s="1" t="s">
        <v>48</v>
      </c>
      <c r="C267" s="1" t="s">
        <v>49</v>
      </c>
      <c r="D267" s="1" t="s">
        <v>69</v>
      </c>
      <c r="E267" s="1" t="s">
        <v>90</v>
      </c>
      <c r="H267" s="1" t="s">
        <v>81</v>
      </c>
      <c r="I267">
        <f>E275/10000000</f>
        <v>8.8307802333304011</v>
      </c>
    </row>
    <row r="268" spans="1:9" x14ac:dyDescent="0.3">
      <c r="A268" s="1">
        <v>1</v>
      </c>
      <c r="B268" s="1" t="s">
        <v>9</v>
      </c>
      <c r="C268">
        <v>6916</v>
      </c>
      <c r="D268">
        <f>(C268-C257)/C257</f>
        <v>2.9779630732578916E-2</v>
      </c>
      <c r="E268">
        <f>C268*$E$3</f>
        <v>18894512</v>
      </c>
    </row>
    <row r="269" spans="1:9" x14ac:dyDescent="0.3">
      <c r="A269" s="1">
        <v>2</v>
      </c>
      <c r="B269" s="1" t="s">
        <v>7</v>
      </c>
      <c r="C269">
        <v>17143</v>
      </c>
      <c r="D269">
        <f>(C269-C258)/C258</f>
        <v>1.1667930692491686E-4</v>
      </c>
      <c r="E269">
        <f>C269*$E$3</f>
        <v>46834676</v>
      </c>
    </row>
    <row r="270" spans="1:9" x14ac:dyDescent="0.3">
      <c r="A270" s="1">
        <v>3</v>
      </c>
      <c r="B270" s="1" t="s">
        <v>6</v>
      </c>
      <c r="C270">
        <v>1535.5</v>
      </c>
      <c r="D270">
        <f>(C270-C259)/C259</f>
        <v>2.4486222177859066E-2</v>
      </c>
      <c r="E270">
        <f>C270*$E$3</f>
        <v>4194986</v>
      </c>
    </row>
    <row r="271" spans="1:9" x14ac:dyDescent="0.3">
      <c r="A271" s="1">
        <v>4</v>
      </c>
      <c r="B271" s="1" t="s">
        <v>12</v>
      </c>
      <c r="C271">
        <v>680.5</v>
      </c>
      <c r="D271">
        <f>(C271-C260)/C260</f>
        <v>6.6173400201911803E-4</v>
      </c>
      <c r="E271">
        <f>C271*$E$3</f>
        <v>1859126</v>
      </c>
      <c r="I271" s="6"/>
    </row>
    <row r="272" spans="1:9" x14ac:dyDescent="0.3">
      <c r="A272" s="1">
        <v>5</v>
      </c>
      <c r="B272" s="1" t="s">
        <v>19</v>
      </c>
      <c r="C272">
        <v>1142.900024</v>
      </c>
      <c r="D272">
        <f>(C272-C261)/C261</f>
        <v>1.2491118345087959E-2</v>
      </c>
      <c r="E272">
        <f>C272*$E$3</f>
        <v>3122402.8655679999</v>
      </c>
      <c r="I272" s="6"/>
    </row>
    <row r="273" spans="1:9" x14ac:dyDescent="0.3">
      <c r="A273" s="1">
        <v>6</v>
      </c>
      <c r="B273" s="1" t="s">
        <v>10</v>
      </c>
      <c r="C273">
        <v>3655.3000489999999</v>
      </c>
      <c r="D273">
        <f>(C273-C262)/C262</f>
        <v>-6.8468824887922986E-3</v>
      </c>
      <c r="E273">
        <f>C273*$E$3</f>
        <v>9986279.7338679992</v>
      </c>
      <c r="I273" s="6"/>
    </row>
    <row r="274" spans="1:9" x14ac:dyDescent="0.3">
      <c r="A274" s="1">
        <v>7</v>
      </c>
      <c r="B274" s="1" t="s">
        <v>20</v>
      </c>
      <c r="C274">
        <v>1250.3000489999999</v>
      </c>
      <c r="D274">
        <f>(C274-C263)/C263</f>
        <v>-6.1207877583466259E-3</v>
      </c>
      <c r="E274">
        <f>C274*$E$3</f>
        <v>3415819.7338679996</v>
      </c>
      <c r="I274" s="6"/>
    </row>
    <row r="275" spans="1:9" x14ac:dyDescent="0.3">
      <c r="D275">
        <f>SUM(D268:D274)</f>
        <v>5.4567714317331054E-2</v>
      </c>
      <c r="E275">
        <f>SUM(E268:E274)</f>
        <v>88307802.333304003</v>
      </c>
    </row>
    <row r="277" spans="1:9" x14ac:dyDescent="0.3">
      <c r="B277" s="15">
        <v>46188</v>
      </c>
    </row>
    <row r="278" spans="1:9" x14ac:dyDescent="0.3">
      <c r="A278" s="1" t="s">
        <v>1</v>
      </c>
      <c r="B278" s="1" t="s">
        <v>48</v>
      </c>
      <c r="C278" s="1" t="s">
        <v>49</v>
      </c>
      <c r="D278" s="1" t="s">
        <v>69</v>
      </c>
      <c r="E278" s="1" t="s">
        <v>90</v>
      </c>
      <c r="H278" s="1" t="s">
        <v>81</v>
      </c>
      <c r="I278">
        <f>E286/10000000</f>
        <v>8.8956925468828807</v>
      </c>
    </row>
    <row r="279" spans="1:9" x14ac:dyDescent="0.3">
      <c r="A279" s="1">
        <v>1</v>
      </c>
      <c r="B279" s="1" t="s">
        <v>9</v>
      </c>
      <c r="C279">
        <v>6940</v>
      </c>
      <c r="D279">
        <f>(C279-C268)/C268</f>
        <v>3.470213996529786E-3</v>
      </c>
      <c r="E279">
        <f>C279*$E$3</f>
        <v>18960080</v>
      </c>
    </row>
    <row r="280" spans="1:9" x14ac:dyDescent="0.3">
      <c r="A280" s="1">
        <v>2</v>
      </c>
      <c r="B280" s="1" t="s">
        <v>7</v>
      </c>
      <c r="C280">
        <v>17277</v>
      </c>
      <c r="D280">
        <f>(C280-C269)/C269</f>
        <v>7.8166015283205968E-3</v>
      </c>
      <c r="E280">
        <f>C280*$E$3</f>
        <v>47200764</v>
      </c>
    </row>
    <row r="281" spans="1:9" x14ac:dyDescent="0.3">
      <c r="A281" s="1">
        <v>3</v>
      </c>
      <c r="B281" s="1" t="s">
        <v>6</v>
      </c>
      <c r="C281">
        <v>1571</v>
      </c>
      <c r="D281">
        <f>(C281-C270)/C270</f>
        <v>2.3119505047215889E-2</v>
      </c>
      <c r="E281">
        <f>C281*$E$3</f>
        <v>4291972</v>
      </c>
    </row>
    <row r="282" spans="1:9" x14ac:dyDescent="0.3">
      <c r="A282" s="1">
        <v>4</v>
      </c>
      <c r="B282" s="1" t="s">
        <v>12</v>
      </c>
      <c r="C282">
        <v>668.90002440000001</v>
      </c>
      <c r="D282">
        <f>(C282-C271)/C271</f>
        <v>-1.7046253637031585E-2</v>
      </c>
      <c r="E282">
        <f>C282*$E$3</f>
        <v>1827434.8666608001</v>
      </c>
      <c r="I282" s="6"/>
    </row>
    <row r="283" spans="1:9" x14ac:dyDescent="0.3">
      <c r="A283" s="1">
        <v>5</v>
      </c>
      <c r="B283" s="1" t="s">
        <v>19</v>
      </c>
      <c r="C283">
        <v>1149.599976</v>
      </c>
      <c r="D283">
        <f>(C283-C272)/C272</f>
        <v>5.8622380429663367E-3</v>
      </c>
      <c r="E283">
        <f>C283*$E$3</f>
        <v>3140707.1344320001</v>
      </c>
      <c r="I283" s="6"/>
    </row>
    <row r="284" spans="1:9" x14ac:dyDescent="0.3">
      <c r="A284" s="1">
        <v>6</v>
      </c>
      <c r="B284" s="1" t="s">
        <v>10</v>
      </c>
      <c r="C284">
        <v>3685.1000979999999</v>
      </c>
      <c r="D284">
        <f>(C284-C273)/C273</f>
        <v>8.152558914596493E-3</v>
      </c>
      <c r="E284">
        <f>C284*$E$3</f>
        <v>10067693.467736</v>
      </c>
      <c r="I284" s="6"/>
    </row>
    <row r="285" spans="1:9" x14ac:dyDescent="0.3">
      <c r="A285" s="1">
        <v>7</v>
      </c>
      <c r="B285" s="1" t="s">
        <v>20</v>
      </c>
      <c r="C285">
        <v>1269.5</v>
      </c>
      <c r="D285">
        <f>(C285-C274)/C274</f>
        <v>1.5356274692107971E-2</v>
      </c>
      <c r="E285">
        <f>C285*$E$3</f>
        <v>3468274</v>
      </c>
      <c r="I285" s="6"/>
    </row>
    <row r="286" spans="1:9" x14ac:dyDescent="0.3">
      <c r="D286">
        <f>SUM(D279:D285)</f>
        <v>4.6731138584705491E-2</v>
      </c>
      <c r="E286">
        <f>SUM(E279:E285)</f>
        <v>88956925.468828812</v>
      </c>
    </row>
    <row r="288" spans="1:9" x14ac:dyDescent="0.3">
      <c r="B288" s="15">
        <v>46189</v>
      </c>
    </row>
    <row r="289" spans="1:9" x14ac:dyDescent="0.3">
      <c r="A289" s="1" t="s">
        <v>1</v>
      </c>
      <c r="B289" s="1" t="s">
        <v>48</v>
      </c>
      <c r="C289" s="1" t="s">
        <v>49</v>
      </c>
      <c r="D289" s="1" t="s">
        <v>69</v>
      </c>
      <c r="E289" s="1" t="s">
        <v>90</v>
      </c>
      <c r="H289" s="1" t="s">
        <v>81</v>
      </c>
      <c r="I289">
        <f>E297/10000000</f>
        <v>8.8138964097294394</v>
      </c>
    </row>
    <row r="290" spans="1:9" x14ac:dyDescent="0.3">
      <c r="A290" s="1">
        <v>1</v>
      </c>
      <c r="B290" s="1" t="s">
        <v>9</v>
      </c>
      <c r="C290">
        <v>6991.5</v>
      </c>
      <c r="D290">
        <f>(C290-C279)/C279</f>
        <v>7.420749279538905E-3</v>
      </c>
      <c r="E290">
        <f>C290*$E$3</f>
        <v>19100778</v>
      </c>
    </row>
    <row r="291" spans="1:9" x14ac:dyDescent="0.3">
      <c r="A291" s="1">
        <v>2</v>
      </c>
      <c r="B291" s="1" t="s">
        <v>7</v>
      </c>
      <c r="C291">
        <v>16899</v>
      </c>
      <c r="D291">
        <f>(C291-C280)/C280</f>
        <v>-2.1878798402500434E-2</v>
      </c>
      <c r="E291">
        <f>C291*$E$3</f>
        <v>46168068</v>
      </c>
    </row>
    <row r="292" spans="1:9" x14ac:dyDescent="0.3">
      <c r="A292" s="1">
        <v>3</v>
      </c>
      <c r="B292" s="1" t="s">
        <v>6</v>
      </c>
      <c r="C292">
        <v>1571.1999510000001</v>
      </c>
      <c r="D292">
        <f>(C292-C281)/C281</f>
        <v>1.2727625716107925E-4</v>
      </c>
      <c r="E292">
        <f>C292*$E$3</f>
        <v>4292518.2661319999</v>
      </c>
    </row>
    <row r="293" spans="1:9" x14ac:dyDescent="0.3">
      <c r="A293" s="1">
        <v>4</v>
      </c>
      <c r="B293" s="1" t="s">
        <v>12</v>
      </c>
      <c r="C293">
        <v>689.20001219999995</v>
      </c>
      <c r="D293">
        <f>(C293-C282)/C282</f>
        <v>3.034831373822856E-2</v>
      </c>
      <c r="E293">
        <f>C293*$E$3</f>
        <v>1882894.4333303999</v>
      </c>
      <c r="I293" s="6"/>
    </row>
    <row r="294" spans="1:9" x14ac:dyDescent="0.3">
      <c r="A294" s="1">
        <v>5</v>
      </c>
      <c r="B294" s="1" t="s">
        <v>19</v>
      </c>
      <c r="C294">
        <v>1177.6999510000001</v>
      </c>
      <c r="D294">
        <f>(C294-C283)/C283</f>
        <v>2.4443263384340996E-2</v>
      </c>
      <c r="E294">
        <f>C294*$E$3</f>
        <v>3217476.2661320004</v>
      </c>
      <c r="I294" s="6"/>
    </row>
    <row r="295" spans="1:9" x14ac:dyDescent="0.3">
      <c r="A295" s="1">
        <v>6</v>
      </c>
      <c r="B295" s="1" t="s">
        <v>10</v>
      </c>
      <c r="C295">
        <v>3671.6999510000001</v>
      </c>
      <c r="D295">
        <f>(C295-C284)/C284</f>
        <v>-3.6363047525554172E-3</v>
      </c>
      <c r="E295">
        <f>C295*$E$3</f>
        <v>10031084.266132001</v>
      </c>
      <c r="I295" s="6"/>
    </row>
    <row r="296" spans="1:9" x14ac:dyDescent="0.3">
      <c r="A296" s="1">
        <v>7</v>
      </c>
      <c r="B296" s="1" t="s">
        <v>20</v>
      </c>
      <c r="C296">
        <v>1261.400024</v>
      </c>
      <c r="D296">
        <f>(C296-C285)/C285</f>
        <v>-6.3804458448207717E-3</v>
      </c>
      <c r="E296">
        <f>C296*$E$3</f>
        <v>3446144.8655679999</v>
      </c>
      <c r="I296" s="6"/>
    </row>
    <row r="297" spans="1:9" x14ac:dyDescent="0.3">
      <c r="D297">
        <f>SUM(D290:D296)</f>
        <v>3.0444053659392924E-2</v>
      </c>
      <c r="E297">
        <f>SUM(E290:E296)</f>
        <v>88138964.09729439</v>
      </c>
    </row>
    <row r="299" spans="1:9" x14ac:dyDescent="0.3">
      <c r="B299" s="15">
        <v>46190</v>
      </c>
    </row>
    <row r="300" spans="1:9" x14ac:dyDescent="0.3">
      <c r="A300" s="1" t="s">
        <v>1</v>
      </c>
      <c r="B300" s="1" t="s">
        <v>48</v>
      </c>
      <c r="C300" s="1" t="s">
        <v>49</v>
      </c>
      <c r="D300" s="1" t="s">
        <v>69</v>
      </c>
      <c r="E300" s="1" t="s">
        <v>90</v>
      </c>
      <c r="H300" s="1" t="s">
        <v>81</v>
      </c>
      <c r="I300">
        <f>E308/10000000</f>
        <v>8.9923506867207195</v>
      </c>
    </row>
    <row r="301" spans="1:9" x14ac:dyDescent="0.3">
      <c r="A301" s="1">
        <v>1</v>
      </c>
      <c r="B301" s="1" t="s">
        <v>9</v>
      </c>
      <c r="C301">
        <v>7029</v>
      </c>
      <c r="D301">
        <f>(C301-C290)/C290</f>
        <v>5.3636558678395192E-3</v>
      </c>
      <c r="E301">
        <f>C301*$E$3</f>
        <v>19203228</v>
      </c>
    </row>
    <row r="302" spans="1:9" x14ac:dyDescent="0.3">
      <c r="A302" s="1">
        <v>2</v>
      </c>
      <c r="B302" s="1" t="s">
        <v>7</v>
      </c>
      <c r="C302">
        <v>17457</v>
      </c>
      <c r="D302">
        <f>(C302-C291)/C291</f>
        <v>3.3019705308006388E-2</v>
      </c>
      <c r="E302">
        <f>C302*$E$3</f>
        <v>47692524</v>
      </c>
    </row>
    <row r="303" spans="1:9" x14ac:dyDescent="0.3">
      <c r="A303" s="1">
        <v>3</v>
      </c>
      <c r="B303" s="1" t="s">
        <v>6</v>
      </c>
      <c r="C303">
        <v>1578.1999510000001</v>
      </c>
      <c r="D303">
        <f>(C303-C292)/C292</f>
        <v>4.455193621629638E-3</v>
      </c>
      <c r="E303">
        <f>C303*$E$3</f>
        <v>4311642.2661319999</v>
      </c>
    </row>
    <row r="304" spans="1:9" x14ac:dyDescent="0.3">
      <c r="A304" s="1">
        <v>4</v>
      </c>
      <c r="B304" s="1" t="s">
        <v>12</v>
      </c>
      <c r="C304">
        <v>701.09997559999999</v>
      </c>
      <c r="D304">
        <f>(C304-C293)/C293</f>
        <v>1.7266342410549435E-2</v>
      </c>
      <c r="E304">
        <f>C304*$E$3</f>
        <v>1915405.1333391999</v>
      </c>
      <c r="I304" s="6"/>
    </row>
    <row r="305" spans="1:9" x14ac:dyDescent="0.3">
      <c r="A305" s="1">
        <v>5</v>
      </c>
      <c r="B305" s="1" t="s">
        <v>19</v>
      </c>
      <c r="C305">
        <v>1179.3000489999999</v>
      </c>
      <c r="D305">
        <f>(C305-C294)/C294</f>
        <v>1.3586635531751745E-3</v>
      </c>
      <c r="E305">
        <f>C305*$E$3</f>
        <v>3221847.7338679996</v>
      </c>
      <c r="I305" s="6"/>
    </row>
    <row r="306" spans="1:9" x14ac:dyDescent="0.3">
      <c r="A306" s="1">
        <v>6</v>
      </c>
      <c r="B306" s="1" t="s">
        <v>10</v>
      </c>
      <c r="C306">
        <v>3675.8000489999999</v>
      </c>
      <c r="D306">
        <f>(C306-C295)/C295</f>
        <v>1.1166756692314178E-3</v>
      </c>
      <c r="E306">
        <f>C306*$E$3</f>
        <v>10042285.733867999</v>
      </c>
      <c r="I306" s="6"/>
    </row>
    <row r="307" spans="1:9" x14ac:dyDescent="0.3">
      <c r="A307" s="1">
        <v>7</v>
      </c>
      <c r="B307" s="1" t="s">
        <v>20</v>
      </c>
      <c r="C307">
        <v>1294.5</v>
      </c>
      <c r="D307">
        <f>(C307-C296)/C296</f>
        <v>2.6240665427480575E-2</v>
      </c>
      <c r="E307">
        <f>C307*$E$3</f>
        <v>3536574</v>
      </c>
      <c r="I307" s="6"/>
    </row>
    <row r="308" spans="1:9" x14ac:dyDescent="0.3">
      <c r="D308">
        <f>SUM(D301:D307)</f>
        <v>8.8820901857912138E-2</v>
      </c>
      <c r="E308">
        <f>SUM(E301:E307)</f>
        <v>89923506.867207199</v>
      </c>
    </row>
    <row r="310" spans="1:9" x14ac:dyDescent="0.3">
      <c r="B310" s="15">
        <v>46191</v>
      </c>
    </row>
    <row r="311" spans="1:9" x14ac:dyDescent="0.3">
      <c r="A311" s="1" t="s">
        <v>1</v>
      </c>
      <c r="B311" s="1" t="s">
        <v>48</v>
      </c>
      <c r="C311" s="1" t="s">
        <v>49</v>
      </c>
      <c r="D311" s="1" t="s">
        <v>69</v>
      </c>
      <c r="E311" s="1" t="s">
        <v>90</v>
      </c>
      <c r="H311" s="1" t="s">
        <v>81</v>
      </c>
      <c r="I311">
        <f>E319/10000000</f>
        <v>9.1768426434969612</v>
      </c>
    </row>
    <row r="312" spans="1:9" x14ac:dyDescent="0.3">
      <c r="A312" s="1">
        <v>1</v>
      </c>
      <c r="B312" s="1" t="s">
        <v>9</v>
      </c>
      <c r="C312">
        <v>7275.5</v>
      </c>
      <c r="D312">
        <f>(C312-C301)/C301</f>
        <v>3.506899985773225E-2</v>
      </c>
      <c r="E312">
        <f>C312*$E$3</f>
        <v>19876666</v>
      </c>
    </row>
    <row r="313" spans="1:9" x14ac:dyDescent="0.3">
      <c r="A313" s="1">
        <v>2</v>
      </c>
      <c r="B313" s="1" t="s">
        <v>7</v>
      </c>
      <c r="C313">
        <v>17764</v>
      </c>
      <c r="D313">
        <f>(C313-C302)/C302</f>
        <v>1.7586068625766168E-2</v>
      </c>
      <c r="E313">
        <f>C313*$E$3</f>
        <v>48531248</v>
      </c>
    </row>
    <row r="314" spans="1:9" x14ac:dyDescent="0.3">
      <c r="A314" s="1">
        <v>3</v>
      </c>
      <c r="B314" s="1" t="s">
        <v>6</v>
      </c>
      <c r="C314">
        <v>1581.099976</v>
      </c>
      <c r="D314">
        <f>(C314-C303)/C303</f>
        <v>1.8375523317957028E-3</v>
      </c>
      <c r="E314">
        <f>C314*$E$3</f>
        <v>4319565.1344320001</v>
      </c>
    </row>
    <row r="315" spans="1:9" x14ac:dyDescent="0.3">
      <c r="A315" s="1">
        <v>4</v>
      </c>
      <c r="B315" s="1" t="s">
        <v>12</v>
      </c>
      <c r="C315">
        <v>690.29998780000005</v>
      </c>
      <c r="D315">
        <f>(C315-C304)/C304</f>
        <v>-1.540434770484385E-2</v>
      </c>
      <c r="E315">
        <f>C315*$E$3</f>
        <v>1885899.5666696001</v>
      </c>
      <c r="I315" s="6"/>
    </row>
    <row r="316" spans="1:9" x14ac:dyDescent="0.3">
      <c r="A316" s="1">
        <v>5</v>
      </c>
      <c r="B316" s="1" t="s">
        <v>19</v>
      </c>
      <c r="C316">
        <v>1154.5</v>
      </c>
      <c r="D316">
        <f>(C316-C305)/C305</f>
        <v>-2.1029464911011757E-2</v>
      </c>
      <c r="E316">
        <f>C316*$E$3</f>
        <v>3154094</v>
      </c>
      <c r="I316" s="6"/>
    </row>
    <row r="317" spans="1:9" x14ac:dyDescent="0.3">
      <c r="A317" s="1">
        <v>6</v>
      </c>
      <c r="B317" s="1" t="s">
        <v>10</v>
      </c>
      <c r="C317">
        <v>3837.5</v>
      </c>
      <c r="D317">
        <f>(C317-C306)/C306</f>
        <v>4.3990409936468244E-2</v>
      </c>
      <c r="E317">
        <f>C317*$E$3</f>
        <v>10484050</v>
      </c>
      <c r="I317" s="6"/>
    </row>
    <row r="318" spans="1:9" x14ac:dyDescent="0.3">
      <c r="A318" s="1">
        <v>7</v>
      </c>
      <c r="B318" s="1" t="s">
        <v>20</v>
      </c>
      <c r="C318">
        <v>1287.3000489999999</v>
      </c>
      <c r="D318">
        <f>(C318-C307)/C307</f>
        <v>-5.5619551950560489E-3</v>
      </c>
      <c r="E318">
        <f>C318*$E$3</f>
        <v>3516903.7338679996</v>
      </c>
      <c r="I318" s="6"/>
    </row>
    <row r="319" spans="1:9" x14ac:dyDescent="0.3">
      <c r="D319">
        <f>SUM(D312:D318)</f>
        <v>5.6487262940850713E-2</v>
      </c>
      <c r="E319">
        <f>SUM(E312:E318)</f>
        <v>91768426.434969604</v>
      </c>
    </row>
    <row r="321" spans="1:9" x14ac:dyDescent="0.3">
      <c r="B321" s="15">
        <v>46192</v>
      </c>
    </row>
    <row r="322" spans="1:9" x14ac:dyDescent="0.3">
      <c r="A322" s="1" t="s">
        <v>1</v>
      </c>
      <c r="B322" s="1" t="s">
        <v>48</v>
      </c>
      <c r="C322" s="1" t="s">
        <v>49</v>
      </c>
      <c r="D322" s="1" t="s">
        <v>69</v>
      </c>
      <c r="E322" s="1" t="s">
        <v>90</v>
      </c>
      <c r="H322" s="1" t="s">
        <v>81</v>
      </c>
      <c r="I322">
        <f>E330/10000000</f>
        <v>9.3004792832801595</v>
      </c>
    </row>
    <row r="323" spans="1:9" x14ac:dyDescent="0.3">
      <c r="A323" s="1">
        <v>1</v>
      </c>
      <c r="B323" s="1" t="s">
        <v>9</v>
      </c>
      <c r="C323">
        <v>7460.5</v>
      </c>
      <c r="D323">
        <f>(C323-C312)/C312</f>
        <v>2.5427805649096281E-2</v>
      </c>
      <c r="E323">
        <f>C323*$E$3</f>
        <v>20382086</v>
      </c>
    </row>
    <row r="324" spans="1:9" x14ac:dyDescent="0.3">
      <c r="A324" s="1">
        <v>2</v>
      </c>
      <c r="B324" s="1" t="s">
        <v>7</v>
      </c>
      <c r="C324">
        <v>18052</v>
      </c>
      <c r="D324">
        <f>(C324-C313)/C313</f>
        <v>1.6212564737671697E-2</v>
      </c>
      <c r="E324">
        <f>C324*$E$3</f>
        <v>49318064</v>
      </c>
    </row>
    <row r="325" spans="1:9" x14ac:dyDescent="0.3">
      <c r="A325" s="1">
        <v>3</v>
      </c>
      <c r="B325" s="1" t="s">
        <v>6</v>
      </c>
      <c r="C325">
        <v>1579.900024</v>
      </c>
      <c r="D325">
        <f>(C325-C314)/C314</f>
        <v>-7.5893493024753499E-4</v>
      </c>
      <c r="E325">
        <f>C325*$E$3</f>
        <v>4316286.8655679999</v>
      </c>
    </row>
    <row r="326" spans="1:9" x14ac:dyDescent="0.3">
      <c r="A326" s="1">
        <v>4</v>
      </c>
      <c r="B326" s="1" t="s">
        <v>12</v>
      </c>
      <c r="C326">
        <v>671.04998780000005</v>
      </c>
      <c r="D326">
        <f>(C326-C315)/C315</f>
        <v>-2.7886426684361008E-2</v>
      </c>
      <c r="E326">
        <f>C326*$E$3</f>
        <v>1833308.5666696001</v>
      </c>
      <c r="I326" s="6"/>
    </row>
    <row r="327" spans="1:9" x14ac:dyDescent="0.3">
      <c r="A327" s="1">
        <v>5</v>
      </c>
      <c r="B327" s="1" t="s">
        <v>19</v>
      </c>
      <c r="C327">
        <v>1162.3000489999999</v>
      </c>
      <c r="D327">
        <f>(C327-C316)/C316</f>
        <v>6.7562139454308747E-3</v>
      </c>
      <c r="E327">
        <f>C327*$E$3</f>
        <v>3175403.7338679996</v>
      </c>
      <c r="I327" s="6"/>
    </row>
    <row r="328" spans="1:9" x14ac:dyDescent="0.3">
      <c r="A328" s="1">
        <v>6</v>
      </c>
      <c r="B328" s="1" t="s">
        <v>10</v>
      </c>
      <c r="C328">
        <v>3839.8999020000001</v>
      </c>
      <c r="D328">
        <f>(C328-C317)/C317</f>
        <v>6.2538162866452402E-4</v>
      </c>
      <c r="E328">
        <f>C328*$E$3</f>
        <v>10490606.532264</v>
      </c>
      <c r="I328" s="6"/>
    </row>
    <row r="329" spans="1:9" x14ac:dyDescent="0.3">
      <c r="A329" s="1">
        <v>7</v>
      </c>
      <c r="B329" s="1" t="s">
        <v>20</v>
      </c>
      <c r="C329">
        <v>1277.099976</v>
      </c>
      <c r="D329">
        <f>(C329-C318)/C318</f>
        <v>-7.9236173477376885E-3</v>
      </c>
      <c r="E329">
        <f>C329*$E$3</f>
        <v>3489037.1344320001</v>
      </c>
      <c r="I329" s="6"/>
    </row>
    <row r="330" spans="1:9" x14ac:dyDescent="0.3">
      <c r="D330">
        <f>SUM(D323:D329)</f>
        <v>1.2452986998517141E-2</v>
      </c>
      <c r="E330">
        <f>SUM(E323:E329)</f>
        <v>93004792.832801595</v>
      </c>
    </row>
    <row r="332" spans="1:9" x14ac:dyDescent="0.3">
      <c r="B332" s="15">
        <v>46195</v>
      </c>
    </row>
    <row r="333" spans="1:9" x14ac:dyDescent="0.3">
      <c r="A333" s="1" t="s">
        <v>1</v>
      </c>
      <c r="B333" s="1" t="s">
        <v>48</v>
      </c>
      <c r="C333" s="1" t="s">
        <v>49</v>
      </c>
      <c r="D333" s="1" t="s">
        <v>69</v>
      </c>
      <c r="E333" s="1" t="s">
        <v>90</v>
      </c>
      <c r="H333" s="1" t="s">
        <v>81</v>
      </c>
      <c r="I333">
        <f>E341/10000000</f>
        <v>9.4098958832801589</v>
      </c>
    </row>
    <row r="334" spans="1:9" x14ac:dyDescent="0.3">
      <c r="A334" s="1">
        <v>1</v>
      </c>
      <c r="B334" s="1" t="s">
        <v>9</v>
      </c>
      <c r="C334">
        <v>7414.5</v>
      </c>
      <c r="D334">
        <f>(C334-C323)/C323</f>
        <v>-6.1658065813283295E-3</v>
      </c>
      <c r="E334">
        <f>C334*$E$3</f>
        <v>20256414</v>
      </c>
    </row>
    <row r="335" spans="1:9" x14ac:dyDescent="0.3">
      <c r="A335" s="1">
        <v>2</v>
      </c>
      <c r="B335" s="1" t="s">
        <v>7</v>
      </c>
      <c r="C335">
        <v>18441</v>
      </c>
      <c r="D335">
        <f>(C335-C324)/C324</f>
        <v>2.1548858852204741E-2</v>
      </c>
      <c r="E335">
        <f>C335*$E$3</f>
        <v>50380812</v>
      </c>
    </row>
    <row r="336" spans="1:9" x14ac:dyDescent="0.3">
      <c r="A336" s="1">
        <v>3</v>
      </c>
      <c r="B336" s="1" t="s">
        <v>6</v>
      </c>
      <c r="C336">
        <v>1572.1999510000001</v>
      </c>
      <c r="D336">
        <f>(C336-C325)/C325</f>
        <v>-4.8737723166209501E-3</v>
      </c>
      <c r="E336">
        <f>C336*$E$3</f>
        <v>4295250.2661319999</v>
      </c>
    </row>
    <row r="337" spans="1:9" x14ac:dyDescent="0.3">
      <c r="A337" s="1">
        <v>4</v>
      </c>
      <c r="B337" s="1" t="s">
        <v>12</v>
      </c>
      <c r="C337">
        <v>655.04998780000005</v>
      </c>
      <c r="D337">
        <f>(C337-C326)/C326</f>
        <v>-2.3843231191248669E-2</v>
      </c>
      <c r="E337">
        <f>C337*$E$3</f>
        <v>1789596.5666696001</v>
      </c>
      <c r="I337" s="6"/>
    </row>
    <row r="338" spans="1:9" x14ac:dyDescent="0.3">
      <c r="A338" s="1">
        <v>5</v>
      </c>
      <c r="B338" s="1" t="s">
        <v>19</v>
      </c>
      <c r="C338">
        <v>1226.8000489999999</v>
      </c>
      <c r="D338">
        <f>(C338-C327)/C327</f>
        <v>5.5493415883010086E-2</v>
      </c>
      <c r="E338">
        <f>C338*$E$3</f>
        <v>3351617.7338679996</v>
      </c>
      <c r="I338" s="6"/>
    </row>
    <row r="339" spans="1:9" x14ac:dyDescent="0.3">
      <c r="A339" s="1">
        <v>6</v>
      </c>
      <c r="B339" s="1" t="s">
        <v>10</v>
      </c>
      <c r="C339">
        <v>3851.3999020000001</v>
      </c>
      <c r="D339">
        <f>(C339-C328)/C328</f>
        <v>2.9948697344975737E-3</v>
      </c>
      <c r="E339">
        <f>C339*$E$3</f>
        <v>10522024.532264</v>
      </c>
      <c r="I339" s="6"/>
    </row>
    <row r="340" spans="1:9" x14ac:dyDescent="0.3">
      <c r="A340" s="1">
        <v>7</v>
      </c>
      <c r="B340" s="1" t="s">
        <v>20</v>
      </c>
      <c r="C340">
        <v>1282.3000489999999</v>
      </c>
      <c r="D340">
        <f>(C340-C329)/C329</f>
        <v>4.0717822392316565E-3</v>
      </c>
      <c r="E340">
        <f>C340*$E$3</f>
        <v>3503243.7338679996</v>
      </c>
      <c r="I340" s="6"/>
    </row>
    <row r="341" spans="1:9" x14ac:dyDescent="0.3">
      <c r="D341">
        <f>SUM(D334:D340)</f>
        <v>4.9226116619746109E-2</v>
      </c>
      <c r="E341">
        <f>SUM(E334:E340)</f>
        <v>94098958.832801595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27BC-C223-425F-A8E7-E42C22B85D64}">
  <dimension ref="A1:L16"/>
  <sheetViews>
    <sheetView workbookViewId="0">
      <selection activeCell="L5" sqref="L5"/>
    </sheetView>
  </sheetViews>
  <sheetFormatPr defaultRowHeight="14.4" x14ac:dyDescent="0.3"/>
  <cols>
    <col min="1" max="1" width="15.21875" bestFit="1" customWidth="1"/>
    <col min="2" max="2" width="15.109375" bestFit="1" customWidth="1"/>
    <col min="3" max="3" width="14.6640625" bestFit="1" customWidth="1"/>
    <col min="4" max="4" width="15.88671875" bestFit="1" customWidth="1"/>
    <col min="5" max="5" width="6" bestFit="1" customWidth="1"/>
    <col min="6" max="6" width="16.77734375" bestFit="1" customWidth="1"/>
    <col min="7" max="7" width="12" bestFit="1" customWidth="1"/>
    <col min="8" max="8" width="15.33203125" bestFit="1" customWidth="1"/>
    <col min="9" max="9" width="6" bestFit="1" customWidth="1"/>
    <col min="10" max="10" width="14" bestFit="1" customWidth="1"/>
    <col min="11" max="11" width="18" bestFit="1" customWidth="1"/>
    <col min="12" max="12" width="15.33203125" bestFit="1" customWidth="1"/>
  </cols>
  <sheetData>
    <row r="1" spans="1:12" x14ac:dyDescent="0.3">
      <c r="B1" s="1" t="s">
        <v>59</v>
      </c>
      <c r="C1" t="s">
        <v>64</v>
      </c>
      <c r="F1" s="1" t="s">
        <v>60</v>
      </c>
      <c r="G1" t="s">
        <v>65</v>
      </c>
      <c r="I1" s="5"/>
      <c r="J1" s="1" t="s">
        <v>62</v>
      </c>
      <c r="K1" t="s">
        <v>65</v>
      </c>
    </row>
    <row r="2" spans="1:12" x14ac:dyDescent="0.3">
      <c r="A2" s="1" t="s">
        <v>55</v>
      </c>
      <c r="B2" s="1" t="s">
        <v>56</v>
      </c>
      <c r="C2" s="1" t="s">
        <v>57</v>
      </c>
      <c r="D2" s="1" t="s">
        <v>58</v>
      </c>
      <c r="F2" t="s">
        <v>56</v>
      </c>
      <c r="G2" t="s">
        <v>57</v>
      </c>
      <c r="H2" t="s">
        <v>58</v>
      </c>
      <c r="I2" s="5"/>
      <c r="J2" t="s">
        <v>56</v>
      </c>
      <c r="K2" t="s">
        <v>63</v>
      </c>
      <c r="L2" t="s">
        <v>58</v>
      </c>
    </row>
    <row r="3" spans="1:12" x14ac:dyDescent="0.3">
      <c r="A3" s="1" t="s">
        <v>9</v>
      </c>
      <c r="G3" t="s">
        <v>61</v>
      </c>
      <c r="I3" s="5"/>
    </row>
    <row r="4" spans="1:12" x14ac:dyDescent="0.3">
      <c r="A4" s="1" t="s">
        <v>7</v>
      </c>
    </row>
    <row r="5" spans="1:12" x14ac:dyDescent="0.3">
      <c r="A5" s="1" t="s">
        <v>6</v>
      </c>
    </row>
    <row r="6" spans="1:12" x14ac:dyDescent="0.3">
      <c r="A6" s="1" t="s">
        <v>12</v>
      </c>
    </row>
    <row r="7" spans="1:12" x14ac:dyDescent="0.3">
      <c r="A7" s="1" t="s">
        <v>19</v>
      </c>
    </row>
    <row r="8" spans="1:12" x14ac:dyDescent="0.3">
      <c r="A8" s="1" t="s">
        <v>10</v>
      </c>
    </row>
    <row r="9" spans="1:12" x14ac:dyDescent="0.3">
      <c r="A9" s="1" t="s">
        <v>20</v>
      </c>
    </row>
    <row r="16" spans="1:12" x14ac:dyDescent="0.3">
      <c r="B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B7B6-4F2D-46AC-8F4A-12E39F063DF8}">
  <dimension ref="A1:F8"/>
  <sheetViews>
    <sheetView workbookViewId="0">
      <selection activeCell="B3" sqref="B3:G11"/>
    </sheetView>
  </sheetViews>
  <sheetFormatPr defaultRowHeight="14.4" x14ac:dyDescent="0.3"/>
  <sheetData>
    <row r="1" spans="1:6" x14ac:dyDescent="0.3">
      <c r="A1" t="s">
        <v>82</v>
      </c>
    </row>
    <row r="2" spans="1:6" x14ac:dyDescent="0.3">
      <c r="A2" s="20">
        <v>46362</v>
      </c>
      <c r="E2" t="s">
        <v>89</v>
      </c>
    </row>
    <row r="3" spans="1:6" x14ac:dyDescent="0.3">
      <c r="A3" t="s">
        <v>83</v>
      </c>
      <c r="B3">
        <v>-0.16</v>
      </c>
      <c r="E3" t="s">
        <v>83</v>
      </c>
      <c r="F3">
        <v>-0.16</v>
      </c>
    </row>
    <row r="4" spans="1:6" x14ac:dyDescent="0.3">
      <c r="A4" t="s">
        <v>84</v>
      </c>
      <c r="B4">
        <v>-3.04</v>
      </c>
      <c r="E4" t="s">
        <v>84</v>
      </c>
      <c r="F4">
        <v>-3.04</v>
      </c>
    </row>
    <row r="5" spans="1:6" x14ac:dyDescent="0.3">
      <c r="A5" t="s">
        <v>85</v>
      </c>
      <c r="B5">
        <v>1.25</v>
      </c>
      <c r="E5" t="s">
        <v>85</v>
      </c>
      <c r="F5">
        <v>1.25</v>
      </c>
    </row>
    <row r="6" spans="1:6" x14ac:dyDescent="0.3">
      <c r="A6" t="s">
        <v>86</v>
      </c>
      <c r="B6">
        <v>1.66</v>
      </c>
      <c r="E6" t="s">
        <v>86</v>
      </c>
      <c r="F6">
        <v>1.66</v>
      </c>
    </row>
    <row r="7" spans="1:6" x14ac:dyDescent="0.3">
      <c r="A7" t="s">
        <v>87</v>
      </c>
      <c r="B7">
        <v>6</v>
      </c>
      <c r="E7" t="s">
        <v>87</v>
      </c>
      <c r="F7">
        <v>6</v>
      </c>
    </row>
    <row r="8" spans="1:6" x14ac:dyDescent="0.3">
      <c r="A8" t="s">
        <v>88</v>
      </c>
      <c r="B8">
        <v>-0.67</v>
      </c>
      <c r="E8" t="s">
        <v>88</v>
      </c>
      <c r="F8">
        <v>-0.67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Shortlisting</vt:lpstr>
      <vt:lpstr>Ratio Analysis</vt:lpstr>
      <vt:lpstr>Asset Allocation</vt:lpstr>
      <vt:lpstr>Recommandation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Sharma</dc:creator>
  <cp:lastModifiedBy>Deepak Sharma</cp:lastModifiedBy>
  <cp:lastPrinted>2026-06-22T14:39:27Z</cp:lastPrinted>
  <dcterms:created xsi:type="dcterms:W3CDTF">2026-05-02T05:26:05Z</dcterms:created>
  <dcterms:modified xsi:type="dcterms:W3CDTF">2026-06-22T16:22:44Z</dcterms:modified>
</cp:coreProperties>
</file>